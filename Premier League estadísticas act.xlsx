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OneDrive\Documents\Ricardo\Tesis\"/>
    </mc:Choice>
  </mc:AlternateContent>
  <xr:revisionPtr revIDLastSave="0" documentId="13_ncr:1_{E61D0365-F190-4AA4-B999-5B3F7499E388}" xr6:coauthVersionLast="47" xr6:coauthVersionMax="47" xr10:uidLastSave="{00000000-0000-0000-0000-000000000000}"/>
  <bookViews>
    <workbookView xWindow="-120" yWindow="-120" windowWidth="51840" windowHeight="21120" firstSheet="1" activeTab="10" xr2:uid="{4529E7F8-8053-C54E-AD4A-C3D7D8BAF1B9}"/>
  </bookViews>
  <sheets>
    <sheet name="2015-2016" sheetId="9" r:id="rId1"/>
    <sheet name="2016-2017" sheetId="6" r:id="rId2"/>
    <sheet name="2017-2018" sheetId="5" r:id="rId3"/>
    <sheet name="2018-2019" sheetId="4" r:id="rId4"/>
    <sheet name="2019-2020" sheetId="3" r:id="rId5"/>
    <sheet name="2020-2021" sheetId="2" r:id="rId6"/>
    <sheet name="2021-2022" sheetId="8" r:id="rId7"/>
    <sheet name="2022-2023" sheetId="10" r:id="rId8"/>
    <sheet name="2023-2024" sheetId="16" r:id="rId9"/>
    <sheet name="Todas las temporadas" sheetId="7" r:id="rId10"/>
    <sheet name="BD" sheetId="14" r:id="rId11"/>
  </sheets>
  <definedNames>
    <definedName name="_xlnm._FilterDatabase" localSheetId="6" hidden="1">'2021-2022'!$B$3:$AI$23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29" i="16" l="1"/>
  <c r="AT30" i="16"/>
  <c r="AT31" i="16"/>
  <c r="AT32" i="16" s="1"/>
  <c r="AT28" i="16"/>
  <c r="AK27" i="16"/>
  <c r="AK28" i="16"/>
  <c r="AK29" i="16"/>
  <c r="AK30" i="16"/>
  <c r="AK31" i="16"/>
  <c r="AK32" i="16"/>
  <c r="AK33" i="16"/>
  <c r="AK34" i="16"/>
  <c r="AK35" i="16"/>
  <c r="AK36" i="16"/>
  <c r="AK37" i="16"/>
  <c r="AK38" i="16"/>
  <c r="AK39" i="16"/>
  <c r="AK40" i="16"/>
  <c r="AK41" i="16"/>
  <c r="AK42" i="16"/>
  <c r="AK43" i="16"/>
  <c r="AK44" i="16"/>
  <c r="AK45" i="16"/>
  <c r="AK4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K43" i="16"/>
  <c r="E43" i="16"/>
  <c r="K32" i="16"/>
  <c r="E32" i="16"/>
  <c r="K38" i="16"/>
  <c r="E38" i="16"/>
  <c r="K42" i="16"/>
  <c r="E42" i="16"/>
  <c r="K30" i="16"/>
  <c r="E30" i="16"/>
  <c r="K35" i="16"/>
  <c r="E35" i="16"/>
  <c r="K46" i="16"/>
  <c r="E46" i="16"/>
  <c r="K36" i="16"/>
  <c r="E36" i="16"/>
  <c r="K29" i="16"/>
  <c r="E29" i="16"/>
  <c r="K31" i="16"/>
  <c r="E31" i="16"/>
  <c r="K34" i="16"/>
  <c r="E34" i="16"/>
  <c r="K45" i="16"/>
  <c r="E45" i="16"/>
  <c r="K40" i="16"/>
  <c r="E40" i="16"/>
  <c r="K41" i="16"/>
  <c r="E41" i="16"/>
  <c r="K33" i="16"/>
  <c r="E33" i="16"/>
  <c r="K44" i="16"/>
  <c r="E44" i="16"/>
  <c r="K28" i="16"/>
  <c r="E28" i="16"/>
  <c r="K37" i="16"/>
  <c r="E37" i="16"/>
  <c r="K27" i="16"/>
  <c r="E27" i="16"/>
  <c r="K39" i="16"/>
  <c r="E39" i="16"/>
  <c r="AL21" i="10"/>
  <c r="C142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AS142" i="7"/>
  <c r="C143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L143" i="7"/>
  <c r="AM143" i="7"/>
  <c r="AN143" i="7"/>
  <c r="AO143" i="7"/>
  <c r="AP143" i="7"/>
  <c r="AQ143" i="7"/>
  <c r="AR143" i="7"/>
  <c r="AS143" i="7"/>
  <c r="C144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AJ144" i="7"/>
  <c r="AL144" i="7"/>
  <c r="AM144" i="7"/>
  <c r="AN144" i="7"/>
  <c r="AO144" i="7"/>
  <c r="AP144" i="7"/>
  <c r="AQ144" i="7"/>
  <c r="AR144" i="7"/>
  <c r="AS144" i="7"/>
  <c r="C145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AN145" i="7"/>
  <c r="AO145" i="7"/>
  <c r="AP145" i="7"/>
  <c r="AQ145" i="7"/>
  <c r="AR145" i="7"/>
  <c r="AS145" i="7"/>
  <c r="C146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AJ146" i="7"/>
  <c r="AK146" i="7"/>
  <c r="AL146" i="7"/>
  <c r="AM146" i="7"/>
  <c r="AN146" i="7"/>
  <c r="AO146" i="7"/>
  <c r="AP146" i="7"/>
  <c r="AQ146" i="7"/>
  <c r="AR146" i="7"/>
  <c r="AS146" i="7"/>
  <c r="C147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AN147" i="7"/>
  <c r="AO147" i="7"/>
  <c r="AP147" i="7"/>
  <c r="AQ147" i="7"/>
  <c r="AR147" i="7"/>
  <c r="AS147" i="7"/>
  <c r="C148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L148" i="7"/>
  <c r="AM148" i="7"/>
  <c r="AN148" i="7"/>
  <c r="AO148" i="7"/>
  <c r="AP148" i="7"/>
  <c r="AQ148" i="7"/>
  <c r="AR148" i="7"/>
  <c r="AS148" i="7"/>
  <c r="C149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AJ149" i="7"/>
  <c r="AL149" i="7"/>
  <c r="AM149" i="7"/>
  <c r="AN149" i="7"/>
  <c r="AO149" i="7"/>
  <c r="AP149" i="7"/>
  <c r="AQ149" i="7"/>
  <c r="AR149" i="7"/>
  <c r="AS149" i="7"/>
  <c r="C150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AJ150" i="7"/>
  <c r="AL150" i="7"/>
  <c r="AM150" i="7"/>
  <c r="AN150" i="7"/>
  <c r="AO150" i="7"/>
  <c r="AP150" i="7"/>
  <c r="AQ150" i="7"/>
  <c r="AR150" i="7"/>
  <c r="AS150" i="7"/>
  <c r="C151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AJ151" i="7"/>
  <c r="AL151" i="7"/>
  <c r="AM151" i="7"/>
  <c r="AN151" i="7"/>
  <c r="AO151" i="7"/>
  <c r="AP151" i="7"/>
  <c r="AQ151" i="7"/>
  <c r="AR151" i="7"/>
  <c r="AS151" i="7"/>
  <c r="C152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AJ152" i="7"/>
  <c r="AL152" i="7"/>
  <c r="AM152" i="7"/>
  <c r="AN152" i="7"/>
  <c r="AO152" i="7"/>
  <c r="AP152" i="7"/>
  <c r="AQ152" i="7"/>
  <c r="AR152" i="7"/>
  <c r="AS152" i="7"/>
  <c r="C153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AJ153" i="7"/>
  <c r="AL153" i="7"/>
  <c r="AM153" i="7"/>
  <c r="AN153" i="7"/>
  <c r="AO153" i="7"/>
  <c r="AP153" i="7"/>
  <c r="AQ153" i="7"/>
  <c r="AR153" i="7"/>
  <c r="AS153" i="7"/>
  <c r="C154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AJ154" i="7"/>
  <c r="AL154" i="7"/>
  <c r="AM154" i="7"/>
  <c r="AN154" i="7"/>
  <c r="AO154" i="7"/>
  <c r="AP154" i="7"/>
  <c r="AQ154" i="7"/>
  <c r="AR154" i="7"/>
  <c r="AS154" i="7"/>
  <c r="C155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AJ155" i="7"/>
  <c r="AL155" i="7"/>
  <c r="AM155" i="7"/>
  <c r="AN155" i="7"/>
  <c r="AO155" i="7"/>
  <c r="AP155" i="7"/>
  <c r="AQ155" i="7"/>
  <c r="AR155" i="7"/>
  <c r="AS155" i="7"/>
  <c r="C156" i="7"/>
  <c r="D156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AJ156" i="7"/>
  <c r="AK156" i="7"/>
  <c r="AL156" i="7"/>
  <c r="AM156" i="7"/>
  <c r="AN156" i="7"/>
  <c r="AO156" i="7"/>
  <c r="AP156" i="7"/>
  <c r="AQ156" i="7"/>
  <c r="AR156" i="7"/>
  <c r="AS156" i="7"/>
  <c r="C157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AS157" i="7"/>
  <c r="C158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AL158" i="7"/>
  <c r="AM158" i="7"/>
  <c r="AN158" i="7"/>
  <c r="AO158" i="7"/>
  <c r="AP158" i="7"/>
  <c r="AQ158" i="7"/>
  <c r="AR158" i="7"/>
  <c r="AS158" i="7"/>
  <c r="C159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L159" i="7"/>
  <c r="AM159" i="7"/>
  <c r="AN159" i="7"/>
  <c r="AO159" i="7"/>
  <c r="AP159" i="7"/>
  <c r="AQ159" i="7"/>
  <c r="AR159" i="7"/>
  <c r="AS159" i="7"/>
  <c r="C160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AJ160" i="7"/>
  <c r="AL160" i="7"/>
  <c r="AM160" i="7"/>
  <c r="AN160" i="7"/>
  <c r="AO160" i="7"/>
  <c r="AP160" i="7"/>
  <c r="AQ160" i="7"/>
  <c r="AR160" i="7"/>
  <c r="AS160" i="7"/>
  <c r="C161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AJ161" i="7"/>
  <c r="AL161" i="7"/>
  <c r="AM161" i="7"/>
  <c r="AN161" i="7"/>
  <c r="AO161" i="7"/>
  <c r="AP161" i="7"/>
  <c r="AQ161" i="7"/>
  <c r="AR161" i="7"/>
  <c r="AS161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42" i="7"/>
  <c r="C122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/>
  <c r="C123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C124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S124" i="7"/>
  <c r="C125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AS125" i="7"/>
  <c r="C126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AN126" i="7"/>
  <c r="AO126" i="7"/>
  <c r="AP126" i="7"/>
  <c r="AQ126" i="7"/>
  <c r="AR126" i="7"/>
  <c r="AS126" i="7"/>
  <c r="C127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C128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AN128" i="7"/>
  <c r="AO128" i="7"/>
  <c r="AP128" i="7"/>
  <c r="AQ128" i="7"/>
  <c r="AR128" i="7"/>
  <c r="AS128" i="7"/>
  <c r="C129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C131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C134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C135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C136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K136" i="7"/>
  <c r="AL136" i="7"/>
  <c r="AM136" i="7"/>
  <c r="AN136" i="7"/>
  <c r="AO136" i="7"/>
  <c r="AP136" i="7"/>
  <c r="AQ136" i="7"/>
  <c r="AR136" i="7"/>
  <c r="AS136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O139" i="7"/>
  <c r="AP139" i="7"/>
  <c r="AQ139" i="7"/>
  <c r="AR139" i="7"/>
  <c r="AS139" i="7"/>
  <c r="C140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AS140" i="7"/>
  <c r="C141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AJ141" i="7"/>
  <c r="AK141" i="7"/>
  <c r="AL141" i="7"/>
  <c r="AM141" i="7"/>
  <c r="AN141" i="7"/>
  <c r="AO141" i="7"/>
  <c r="AP141" i="7"/>
  <c r="AQ141" i="7"/>
  <c r="AR141" i="7"/>
  <c r="AS141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22" i="7"/>
  <c r="C102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AJ102" i="7"/>
  <c r="AK102" i="7"/>
  <c r="AL102" i="7"/>
  <c r="AM102" i="7"/>
  <c r="AN102" i="7"/>
  <c r="AO102" i="7"/>
  <c r="AP102" i="7"/>
  <c r="AQ102" i="7"/>
  <c r="AR102" i="7"/>
  <c r="AS102" i="7"/>
  <c r="C103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C104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C105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C106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C107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AJ107" i="7"/>
  <c r="AK107" i="7"/>
  <c r="AL107" i="7"/>
  <c r="AM107" i="7"/>
  <c r="AN107" i="7"/>
  <c r="AO107" i="7"/>
  <c r="AP107" i="7"/>
  <c r="AQ107" i="7"/>
  <c r="AR107" i="7"/>
  <c r="AS107" i="7"/>
  <c r="C108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C109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C111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AS111" i="7"/>
  <c r="C112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C113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/>
  <c r="C114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/>
  <c r="C115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C118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S119" i="7"/>
  <c r="C120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C121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02" i="7"/>
  <c r="C82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S82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K87" i="7"/>
  <c r="AL87" i="7"/>
  <c r="AM87" i="7"/>
  <c r="AN87" i="7"/>
  <c r="AO87" i="7"/>
  <c r="AP87" i="7"/>
  <c r="AQ87" i="7"/>
  <c r="AR87" i="7"/>
  <c r="AS87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C91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AS91" i="7"/>
  <c r="C92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AJ92" i="7"/>
  <c r="AK92" i="7"/>
  <c r="AL92" i="7"/>
  <c r="AM92" i="7"/>
  <c r="AN92" i="7"/>
  <c r="AO92" i="7"/>
  <c r="AP92" i="7"/>
  <c r="AQ92" i="7"/>
  <c r="AR92" i="7"/>
  <c r="AS92" i="7"/>
  <c r="C93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C94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/>
  <c r="C95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C97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AJ97" i="7"/>
  <c r="AK97" i="7"/>
  <c r="AL97" i="7"/>
  <c r="AM97" i="7"/>
  <c r="AN97" i="7"/>
  <c r="AO97" i="7"/>
  <c r="AP97" i="7"/>
  <c r="AQ97" i="7"/>
  <c r="AR97" i="7"/>
  <c r="AS97" i="7"/>
  <c r="C98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C99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AS101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82" i="7"/>
  <c r="C62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C66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C67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AS67" i="7"/>
  <c r="C68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C69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C72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AS72" i="7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C74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AS77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C81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6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4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22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" i="7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4" i="2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4" i="3"/>
  <c r="AT5" i="10"/>
  <c r="AT6" i="10" s="1"/>
  <c r="AT7" i="10" s="1"/>
  <c r="AT8" i="10" s="1"/>
  <c r="AT9" i="10" s="1"/>
  <c r="AT10" i="10" s="1"/>
  <c r="AT11" i="10" s="1"/>
  <c r="AT12" i="10" s="1"/>
  <c r="AT13" i="10" s="1"/>
  <c r="AT14" i="10" s="1"/>
  <c r="AT15" i="10" s="1"/>
  <c r="AT16" i="10" s="1"/>
  <c r="AT17" i="10" s="1"/>
  <c r="AT18" i="10" s="1"/>
  <c r="AT19" i="10" s="1"/>
  <c r="AT20" i="10" s="1"/>
  <c r="AT21" i="10" s="1"/>
  <c r="AT22" i="10" s="1"/>
  <c r="AT23" i="10" s="1"/>
  <c r="AT5" i="2"/>
  <c r="AT6" i="2" s="1"/>
  <c r="AT7" i="2" s="1"/>
  <c r="AT8" i="2" s="1"/>
  <c r="AT9" i="2" s="1"/>
  <c r="AT10" i="2" s="1"/>
  <c r="AT11" i="2" s="1"/>
  <c r="AT12" i="2" s="1"/>
  <c r="AT13" i="2" s="1"/>
  <c r="AT14" i="2" s="1"/>
  <c r="AT15" i="2" s="1"/>
  <c r="AT16" i="2" s="1"/>
  <c r="AT17" i="2" s="1"/>
  <c r="AT18" i="2" s="1"/>
  <c r="AT19" i="2" s="1"/>
  <c r="AT20" i="2" s="1"/>
  <c r="AT21" i="2" s="1"/>
  <c r="AT22" i="2" s="1"/>
  <c r="AT23" i="2" s="1"/>
  <c r="AT5" i="3"/>
  <c r="AT6" i="3" s="1"/>
  <c r="AT7" i="3" s="1"/>
  <c r="AT8" i="3" s="1"/>
  <c r="AT9" i="3" s="1"/>
  <c r="AT10" i="3" s="1"/>
  <c r="AT11" i="3" s="1"/>
  <c r="AT12" i="3" s="1"/>
  <c r="AT13" i="3" s="1"/>
  <c r="AT14" i="3" s="1"/>
  <c r="AT15" i="3" s="1"/>
  <c r="AT16" i="3" s="1"/>
  <c r="AT17" i="3" s="1"/>
  <c r="AT18" i="3" s="1"/>
  <c r="AT19" i="3" s="1"/>
  <c r="AT20" i="3" s="1"/>
  <c r="AT21" i="3" s="1"/>
  <c r="AT22" i="3" s="1"/>
  <c r="AT23" i="3" s="1"/>
  <c r="AT5" i="5"/>
  <c r="AT6" i="5" s="1"/>
  <c r="AT7" i="5" s="1"/>
  <c r="AT8" i="5" s="1"/>
  <c r="AT9" i="5" s="1"/>
  <c r="AT10" i="5" s="1"/>
  <c r="AT11" i="5" s="1"/>
  <c r="AT12" i="5" s="1"/>
  <c r="AT13" i="5" s="1"/>
  <c r="AT14" i="5" s="1"/>
  <c r="AT15" i="5" s="1"/>
  <c r="AT16" i="5" s="1"/>
  <c r="AT17" i="5" s="1"/>
  <c r="AT18" i="5" s="1"/>
  <c r="AT19" i="5" s="1"/>
  <c r="AT20" i="5" s="1"/>
  <c r="AT21" i="5" s="1"/>
  <c r="AT22" i="5" s="1"/>
  <c r="AT23" i="5" s="1"/>
  <c r="AT5" i="6"/>
  <c r="AT6" i="6" s="1"/>
  <c r="AT7" i="6" s="1"/>
  <c r="AT8" i="6" s="1"/>
  <c r="AT9" i="6" s="1"/>
  <c r="AT10" i="6" s="1"/>
  <c r="AT11" i="6" s="1"/>
  <c r="AT12" i="6" s="1"/>
  <c r="AT13" i="6" s="1"/>
  <c r="AT14" i="6" s="1"/>
  <c r="AT15" i="6" s="1"/>
  <c r="AT16" i="6" s="1"/>
  <c r="AT17" i="6" s="1"/>
  <c r="AT18" i="6" s="1"/>
  <c r="AT19" i="6" s="1"/>
  <c r="AT20" i="6" s="1"/>
  <c r="AT21" i="6" s="1"/>
  <c r="AT22" i="6" s="1"/>
  <c r="AT23" i="6" s="1"/>
  <c r="AT5" i="9"/>
  <c r="AT6" i="9" s="1"/>
  <c r="AT7" i="9" s="1"/>
  <c r="AT8" i="9" s="1"/>
  <c r="AT9" i="9" s="1"/>
  <c r="AT10" i="9" s="1"/>
  <c r="AT11" i="9" s="1"/>
  <c r="AT12" i="9" s="1"/>
  <c r="AT13" i="9" s="1"/>
  <c r="AT14" i="9" s="1"/>
  <c r="AT15" i="9" s="1"/>
  <c r="AT16" i="9" s="1"/>
  <c r="AT17" i="9" s="1"/>
  <c r="AT18" i="9" s="1"/>
  <c r="AT19" i="9" s="1"/>
  <c r="AT20" i="9" s="1"/>
  <c r="AT21" i="9" s="1"/>
  <c r="AT22" i="9" s="1"/>
  <c r="AT23" i="9" s="1"/>
  <c r="AT5" i="4"/>
  <c r="AT6" i="4" s="1"/>
  <c r="AT7" i="4" s="1"/>
  <c r="AT8" i="4" s="1"/>
  <c r="AT9" i="4" s="1"/>
  <c r="AT10" i="4" s="1"/>
  <c r="AT11" i="4" s="1"/>
  <c r="AT12" i="4" s="1"/>
  <c r="AT13" i="4" s="1"/>
  <c r="AT14" i="4" s="1"/>
  <c r="AT15" i="4" s="1"/>
  <c r="AT16" i="4" s="1"/>
  <c r="AT17" i="4" s="1"/>
  <c r="AT18" i="4" s="1"/>
  <c r="AT19" i="4" s="1"/>
  <c r="AT20" i="4" s="1"/>
  <c r="AT21" i="4" s="1"/>
  <c r="AT22" i="4" s="1"/>
  <c r="AT23" i="4" s="1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4" i="5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4" i="6"/>
  <c r="AL11" i="10"/>
  <c r="AK149" i="7" s="1"/>
  <c r="AL12" i="10"/>
  <c r="AK150" i="7" s="1"/>
  <c r="AL13" i="10"/>
  <c r="AK151" i="7" s="1"/>
  <c r="AL14" i="10"/>
  <c r="AK152" i="7" s="1"/>
  <c r="AL15" i="10"/>
  <c r="AK153" i="7" s="1"/>
  <c r="AL16" i="10"/>
  <c r="AK154" i="7" s="1"/>
  <c r="AL17" i="10"/>
  <c r="AK155" i="7" s="1"/>
  <c r="AL18" i="10"/>
  <c r="AL19" i="10"/>
  <c r="AL20" i="10"/>
  <c r="AK158" i="7" s="1"/>
  <c r="AK159" i="7"/>
  <c r="AL22" i="10"/>
  <c r="AK160" i="7" s="1"/>
  <c r="AL23" i="10"/>
  <c r="AK161" i="7" s="1"/>
  <c r="AL5" i="10"/>
  <c r="AK143" i="7" s="1"/>
  <c r="AL6" i="10"/>
  <c r="AK144" i="7" s="1"/>
  <c r="AL7" i="10"/>
  <c r="AL8" i="10"/>
  <c r="AL9" i="10"/>
  <c r="AL10" i="10"/>
  <c r="AK148" i="7" s="1"/>
  <c r="AL4" i="10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AT33" i="16" l="1"/>
  <c r="AT34" i="16" l="1"/>
  <c r="AT35" i="16" l="1"/>
  <c r="AT36" i="16" l="1"/>
  <c r="AT37" i="16" l="1"/>
  <c r="AT38" i="16" l="1"/>
  <c r="AT39" i="16" l="1"/>
  <c r="AT40" i="16" l="1"/>
  <c r="AT41" i="16" l="1"/>
  <c r="AT42" i="16" l="1"/>
  <c r="AT43" i="16" l="1"/>
  <c r="AT44" i="16" l="1"/>
  <c r="AT45" i="16" l="1"/>
  <c r="AT46" i="16" l="1"/>
</calcChain>
</file>

<file path=xl/sharedStrings.xml><?xml version="1.0" encoding="utf-8"?>
<sst xmlns="http://schemas.openxmlformats.org/spreadsheetml/2006/main" count="1788" uniqueCount="319">
  <si>
    <t>Posición en la tabla</t>
  </si>
  <si>
    <t>Liverpool</t>
  </si>
  <si>
    <t>Chelsea</t>
  </si>
  <si>
    <t>Tottenham Hotspur</t>
  </si>
  <si>
    <t>Manchester United</t>
  </si>
  <si>
    <t>West Ham United</t>
  </si>
  <si>
    <t>Arsenal</t>
  </si>
  <si>
    <t>Leicester City</t>
  </si>
  <si>
    <t>Aston Villa</t>
  </si>
  <si>
    <t>Crystal Palace</t>
  </si>
  <si>
    <t>Brentford</t>
  </si>
  <si>
    <t>Southampton</t>
  </si>
  <si>
    <t>Newcastle United</t>
  </si>
  <si>
    <t>Leeds United</t>
  </si>
  <si>
    <t>Brighton and Hove Albion</t>
  </si>
  <si>
    <t>Everton</t>
  </si>
  <si>
    <t>Wolverhampton Wanderers</t>
  </si>
  <si>
    <t>Burnley</t>
  </si>
  <si>
    <t>Watford</t>
  </si>
  <si>
    <t>Norwich City</t>
  </si>
  <si>
    <t>Goles a favor</t>
  </si>
  <si>
    <t>Porterias en cero</t>
  </si>
  <si>
    <t>Tarjetas Amarillas</t>
  </si>
  <si>
    <t>Tarjetas Rojas</t>
  </si>
  <si>
    <t>Equipo</t>
  </si>
  <si>
    <t>Manchester City</t>
  </si>
  <si>
    <t>Temporada 2020/2021</t>
  </si>
  <si>
    <t>Fulham</t>
  </si>
  <si>
    <t>West Bromwich Albion</t>
  </si>
  <si>
    <t>Sheffield United</t>
  </si>
  <si>
    <t>Temporada 2019/2020</t>
  </si>
  <si>
    <t>AFC Bournemouth</t>
  </si>
  <si>
    <t>Temporada 2018/2019</t>
  </si>
  <si>
    <t>Cardiff City</t>
  </si>
  <si>
    <t>Huddersfield Town</t>
  </si>
  <si>
    <t>Temporada 2017/2018</t>
  </si>
  <si>
    <t>Swansea City</t>
  </si>
  <si>
    <t>Stoke City</t>
  </si>
  <si>
    <t>Temporada 2016/2017</t>
  </si>
  <si>
    <t>Hull City</t>
  </si>
  <si>
    <t>Middlesbrough</t>
  </si>
  <si>
    <t>Sunderland</t>
  </si>
  <si>
    <t>Goles en contra</t>
  </si>
  <si>
    <t>Diferencia de goles</t>
  </si>
  <si>
    <t>Dinero gastado en transferencias (Millones de euros)</t>
  </si>
  <si>
    <t>Dinero ingresado por transferencias (millones de euros)</t>
  </si>
  <si>
    <t>XG F</t>
  </si>
  <si>
    <t>XG A</t>
  </si>
  <si>
    <t>Fuentes:</t>
  </si>
  <si>
    <t>https://fbref.com/en/comps/9/shooting/Premier-League-Stats</t>
  </si>
  <si>
    <t>https://footystats.org/england/premier-league#</t>
  </si>
  <si>
    <t>Valor de la plantilla</t>
  </si>
  <si>
    <t>https://www.premierleague.com/stats/top/clubs/wins</t>
  </si>
  <si>
    <t>G vs XG</t>
  </si>
  <si>
    <t>Tiros a gol</t>
  </si>
  <si>
    <t>Tiros</t>
  </si>
  <si>
    <t>Gol de penal</t>
  </si>
  <si>
    <t>Gol de cabeza</t>
  </si>
  <si>
    <t>Gol dentro del área</t>
  </si>
  <si>
    <t>Gol fuera del área</t>
  </si>
  <si>
    <t>Gol de contragolpe</t>
  </si>
  <si>
    <t>Auotgoles</t>
  </si>
  <si>
    <t>Penales provocados</t>
  </si>
  <si>
    <t>Fueras de lugar</t>
  </si>
  <si>
    <t>Paradas</t>
  </si>
  <si>
    <t>Despejes</t>
  </si>
  <si>
    <t>Barridas</t>
  </si>
  <si>
    <t>Faltas</t>
  </si>
  <si>
    <t># de pases</t>
  </si>
  <si>
    <t>Pases filtrados</t>
  </si>
  <si>
    <t>Pases hacia atrás</t>
  </si>
  <si>
    <t>Centros</t>
  </si>
  <si>
    <t>Corners</t>
  </si>
  <si>
    <t>Jugadores nuevos</t>
  </si>
  <si>
    <t>Jugadores vendidos</t>
  </si>
  <si>
    <t># de jugadores</t>
  </si>
  <si>
    <t>Valor promedio jugadores</t>
  </si>
  <si>
    <t>Asistencia promedio al estadio</t>
  </si>
  <si>
    <t>% ventaja local</t>
  </si>
  <si>
    <t>General</t>
  </si>
  <si>
    <t>Ataque</t>
  </si>
  <si>
    <t>Defensa</t>
  </si>
  <si>
    <t>Tipo de juego</t>
  </si>
  <si>
    <t>Extra cancha</t>
  </si>
  <si>
    <t>Temporada 2022/2023</t>
  </si>
  <si>
    <t>Bournemouth</t>
  </si>
  <si>
    <t>NA</t>
  </si>
  <si>
    <t>Temporada 2021/2022</t>
  </si>
  <si>
    <t>https://www.transfermarkt.mx/premier-league/einnahmenausgaben/wettbewerb/GB1/plus/0?ids=a&amp;sa=&amp;saison_id=2015&amp;saison_id_bis=2015&amp;nat=&amp;pos=&amp;altersklasse=&amp;w_s=&amp;leihe=&amp;intern=0</t>
  </si>
  <si>
    <t>Valor promedio jugadores (millones de euros)</t>
  </si>
  <si>
    <t>https://www.transfermarkt.mx/premier-league/startseite/wettbewerb/GB1/saison_id/2015</t>
  </si>
  <si>
    <t>Nott'ham Forest</t>
  </si>
  <si>
    <t>Temporada</t>
  </si>
  <si>
    <t>18/19</t>
  </si>
  <si>
    <t>15/16</t>
  </si>
  <si>
    <t>16/17</t>
  </si>
  <si>
    <t>17/18</t>
  </si>
  <si>
    <t>19/20</t>
  </si>
  <si>
    <t>20/21</t>
  </si>
  <si>
    <t>21/22</t>
  </si>
  <si>
    <t>22/23</t>
  </si>
  <si>
    <t>Competencias Europeas</t>
  </si>
  <si>
    <t>Recien ascendido</t>
  </si>
  <si>
    <t>Sheffield Utd</t>
  </si>
  <si>
    <t>Champions</t>
  </si>
  <si>
    <t>Descenso</t>
  </si>
  <si>
    <t>Big 6</t>
  </si>
  <si>
    <t>Posicion</t>
  </si>
  <si>
    <t>GaF</t>
  </si>
  <si>
    <t>GaC</t>
  </si>
  <si>
    <t>DF</t>
  </si>
  <si>
    <t>P0</t>
  </si>
  <si>
    <t>TA</t>
  </si>
  <si>
    <t>TR</t>
  </si>
  <si>
    <t>XGF</t>
  </si>
  <si>
    <t>XGC</t>
  </si>
  <si>
    <t>GvsXG</t>
  </si>
  <si>
    <t>TirosAGol</t>
  </si>
  <si>
    <t>GolDePenal</t>
  </si>
  <si>
    <t>GolDeCabeza</t>
  </si>
  <si>
    <t>GolDentroA</t>
  </si>
  <si>
    <t>GolFueraA</t>
  </si>
  <si>
    <t>GolContragolpe</t>
  </si>
  <si>
    <t>FuerasDeLugar</t>
  </si>
  <si>
    <t>PenalesProvocados</t>
  </si>
  <si>
    <t>NumeroDePases</t>
  </si>
  <si>
    <t>PasesFiltrados</t>
  </si>
  <si>
    <t>PasesHaciaAtras</t>
  </si>
  <si>
    <t>JugadoresNuevos</t>
  </si>
  <si>
    <t>JugadoresVendidos</t>
  </si>
  <si>
    <t>ValorPlantilla</t>
  </si>
  <si>
    <t>NumeroDeJugadores</t>
  </si>
  <si>
    <t>ValorPromedioJugadores</t>
  </si>
  <si>
    <t>AsistenciaPromedioAlEstadio</t>
  </si>
  <si>
    <t>VentajaLocal</t>
  </si>
  <si>
    <t>CompetenciasEuropeas</t>
  </si>
  <si>
    <t>RecienAscendido</t>
  </si>
  <si>
    <t>Big6</t>
  </si>
  <si>
    <t>Anio</t>
  </si>
  <si>
    <t>16</t>
  </si>
  <si>
    <t>17</t>
  </si>
  <si>
    <t>18</t>
  </si>
  <si>
    <t>19</t>
  </si>
  <si>
    <t>20</t>
  </si>
  <si>
    <t>21</t>
  </si>
  <si>
    <t>22</t>
  </si>
  <si>
    <t>23</t>
  </si>
  <si>
    <t>DineroGastadoEnTransferenciasMillonesDeEuros</t>
  </si>
  <si>
    <t>DineroIngresadoPorTransferenciasMillonesDeEuros</t>
  </si>
  <si>
    <t>Luton Town</t>
  </si>
  <si>
    <t>Tottenham</t>
  </si>
  <si>
    <t>West Ham</t>
  </si>
  <si>
    <t>Brighton</t>
  </si>
  <si>
    <t>Wolves</t>
  </si>
  <si>
    <t> Manchester City</t>
  </si>
  <si>
    <t>Erling Haaland - 27</t>
  </si>
  <si>
    <t>Ederson</t>
  </si>
  <si>
    <t>→ Champions League via league finish</t>
  </si>
  <si>
    <t> Arsenal</t>
  </si>
  <si>
    <t>Bukayo Saka - 16</t>
  </si>
  <si>
    <t>David Raya</t>
  </si>
  <si>
    <t> Liverpool</t>
  </si>
  <si>
    <t>Mohamed Salah - 18</t>
  </si>
  <si>
    <t>Alisson</t>
  </si>
  <si>
    <t> Aston Villa</t>
  </si>
  <si>
    <t>Ollie Watkins - 19</t>
  </si>
  <si>
    <t>Emiliano Martínez</t>
  </si>
  <si>
    <t> Tottenham</t>
  </si>
  <si>
    <t>Son Heung-min - 17</t>
  </si>
  <si>
    <t>Guglielmo Vicario</t>
  </si>
  <si>
    <t>→ Europa League via league finish</t>
  </si>
  <si>
    <t> Chelsea</t>
  </si>
  <si>
    <t>Cole Palmer - 22</t>
  </si>
  <si>
    <t>Đorđe Petrović</t>
  </si>
  <si>
    <t>→ Europa Conference League via league finish</t>
  </si>
  <si>
    <t> Newcastle Utd</t>
  </si>
  <si>
    <t>Alexander Isak - 21</t>
  </si>
  <si>
    <t>Martin Dúbravka</t>
  </si>
  <si>
    <t> Manchester Utd</t>
  </si>
  <si>
    <r>
      <t>Rasmus Højlund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Bruno Fernandes</t>
    </r>
    <r>
      <rPr>
        <sz val="9.4"/>
        <color rgb="FF000000"/>
        <rFont val="Verdana"/>
        <family val="2"/>
      </rPr>
      <t> - 10</t>
    </r>
  </si>
  <si>
    <t>André Onana</t>
  </si>
  <si>
    <t>→ Europa League via cup win</t>
  </si>
  <si>
    <t> West Ham</t>
  </si>
  <si>
    <t>Jarrod Bowen - 16</t>
  </si>
  <si>
    <t>Alphonse Areola</t>
  </si>
  <si>
    <t> Crystal Palace</t>
  </si>
  <si>
    <t>Jean-Philippe Mateta - 16</t>
  </si>
  <si>
    <t>Sam Johnstone</t>
  </si>
  <si>
    <t> Brighton</t>
  </si>
  <si>
    <t>João Pedro - 9</t>
  </si>
  <si>
    <t>Bart Verbruggen</t>
  </si>
  <si>
    <t> Bournemouth</t>
  </si>
  <si>
    <t>Dominic Solanke - 19</t>
  </si>
  <si>
    <t>Neto</t>
  </si>
  <si>
    <t> Fulham</t>
  </si>
  <si>
    <t>Rodrigo Muniz - 9</t>
  </si>
  <si>
    <t>Bernd Leno</t>
  </si>
  <si>
    <t> Wolves</t>
  </si>
  <si>
    <r>
      <t>Hwang Hee-chan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Matheus Cunha</t>
    </r>
    <r>
      <rPr>
        <sz val="9.4"/>
        <color rgb="FF000000"/>
        <rFont val="Verdana"/>
        <family val="2"/>
      </rPr>
      <t> - 12</t>
    </r>
  </si>
  <si>
    <t>José Sá</t>
  </si>
  <si>
    <t> Everton</t>
  </si>
  <si>
    <r>
      <t>Abdoulaye Doucouré</t>
    </r>
    <r>
      <rPr>
        <sz val="9.4"/>
        <color rgb="FF000000"/>
        <rFont val="Verdana"/>
        <family val="2"/>
      </rPr>
      <t>, </t>
    </r>
    <r>
      <rPr>
        <sz val="9.4"/>
        <color rgb="FF3344DD"/>
        <rFont val="Verdana"/>
        <family val="2"/>
      </rPr>
      <t>Dominic Calvert-Lewin</t>
    </r>
    <r>
      <rPr>
        <sz val="9.4"/>
        <color rgb="FF000000"/>
        <rFont val="Verdana"/>
        <family val="2"/>
      </rPr>
      <t> - 7</t>
    </r>
  </si>
  <si>
    <t>Jordan Pickford</t>
  </si>
  <si>
    <r>
      <t>6-point deduction </t>
    </r>
    <r>
      <rPr>
        <sz val="9"/>
        <color rgb="FF990000"/>
        <rFont val="Verdana"/>
        <family val="2"/>
      </rPr>
      <t>1</t>
    </r>
  </si>
  <si>
    <t> Brentford</t>
  </si>
  <si>
    <t>Yoane Wissa - 12</t>
  </si>
  <si>
    <t>Mark Flekken</t>
  </si>
  <si>
    <t> Nott'ham Forest</t>
  </si>
  <si>
    <t>Chris Wood - 14</t>
  </si>
  <si>
    <t>Matt Turner</t>
  </si>
  <si>
    <r>
      <t>4-point deduction </t>
    </r>
    <r>
      <rPr>
        <sz val="9"/>
        <color rgb="FF990000"/>
        <rFont val="Verdana"/>
        <family val="2"/>
      </rPr>
      <t>2</t>
    </r>
  </si>
  <si>
    <t> Luton Town</t>
  </si>
  <si>
    <t>Carlton Morris - 11</t>
  </si>
  <si>
    <t>Thomas Kaminski</t>
  </si>
  <si>
    <t>Relegated</t>
  </si>
  <si>
    <t> Burnley</t>
  </si>
  <si>
    <t>Jacob Bruun Larsen - 6</t>
  </si>
  <si>
    <t>James Trafford</t>
  </si>
  <si>
    <t> Sheffield Utd</t>
  </si>
  <si>
    <t>23/24</t>
  </si>
  <si>
    <t>23/25</t>
  </si>
  <si>
    <t>23/26</t>
  </si>
  <si>
    <t>23/27</t>
  </si>
  <si>
    <t>23/28</t>
  </si>
  <si>
    <t>23/29</t>
  </si>
  <si>
    <t>23/30</t>
  </si>
  <si>
    <t>23/31</t>
  </si>
  <si>
    <t>23/32</t>
  </si>
  <si>
    <t>23/33</t>
  </si>
  <si>
    <t>23/34</t>
  </si>
  <si>
    <t>23/35</t>
  </si>
  <si>
    <t>23/36</t>
  </si>
  <si>
    <t>23/37</t>
  </si>
  <si>
    <t>23/38</t>
  </si>
  <si>
    <t>23/39</t>
  </si>
  <si>
    <t>23/40</t>
  </si>
  <si>
    <t>23/41</t>
  </si>
  <si>
    <t>23/42</t>
  </si>
  <si>
    <t>23/43</t>
  </si>
  <si>
    <t>Playing Time</t>
  </si>
  <si>
    <t>Performance</t>
  </si>
  <si>
    <t>Expected</t>
  </si>
  <si>
    <t>Progression</t>
  </si>
  <si>
    <t>Per 90 Minutes</t>
  </si>
  <si>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</si>
  <si>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</si>
  <si>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</si>
  <si>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</si>
  <si>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</si>
  <si>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</si>
  <si>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</si>
  <si>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</si>
  <si>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</si>
  <si>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</si>
  <si>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</si>
  <si>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</si>
  <si>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</si>
  <si>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</si>
  <si>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</si>
  <si>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</si>
  <si>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</si>
  <si>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</si>
  <si>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</si>
  <si>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</si>
  <si>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</si>
  <si>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</si>
  <si>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G+A-PK</t>
  </si>
  <si>
    <t>xG+xAG</t>
  </si>
  <si>
    <t>Manchester Utd</t>
  </si>
  <si>
    <t>Newcastle Utd</t>
  </si>
  <si>
    <t>Standard</t>
  </si>
  <si>
    <t>Sh</t>
  </si>
  <si>
    <t>SoT</t>
  </si>
  <si>
    <t>SoT%</t>
  </si>
  <si>
    <t>Sh/90</t>
  </si>
  <si>
    <t>SoT/90</t>
  </si>
  <si>
    <t>G/Sh</t>
  </si>
  <si>
    <t>G/SoT</t>
  </si>
  <si>
    <t>Dist</t>
  </si>
  <si>
    <t>FK</t>
  </si>
  <si>
    <t>npxG/Sh</t>
  </si>
  <si>
    <t>G-xG</t>
  </si>
  <si>
    <t>np:G-xG</t>
  </si>
  <si>
    <t>Att</t>
  </si>
  <si>
    <t>Live</t>
  </si>
  <si>
    <t>Dead</t>
  </si>
  <si>
    <t>TB</t>
  </si>
  <si>
    <t>Sw</t>
  </si>
  <si>
    <t>Crs</t>
  </si>
  <si>
    <t>TI</t>
  </si>
  <si>
    <t>CK</t>
  </si>
  <si>
    <t>In</t>
  </si>
  <si>
    <t>Out</t>
  </si>
  <si>
    <t>Str</t>
  </si>
  <si>
    <t>Cmp</t>
  </si>
  <si>
    <t>Off</t>
  </si>
  <si>
    <t>Blocks</t>
  </si>
  <si>
    <t>Tkl</t>
  </si>
  <si>
    <t>TklW</t>
  </si>
  <si>
    <t>Def 3rd</t>
  </si>
  <si>
    <t>Mid 3rd</t>
  </si>
  <si>
    <t>Att 3rd</t>
  </si>
  <si>
    <t>Tkl%</t>
  </si>
  <si>
    <t>Lost</t>
  </si>
  <si>
    <t>Pass</t>
  </si>
  <si>
    <t>Int</t>
  </si>
  <si>
    <t>Tkl+Int</t>
  </si>
  <si>
    <t>Clr</t>
  </si>
  <si>
    <t>Err</t>
  </si>
  <si>
    <t>2CrdY</t>
  </si>
  <si>
    <t>Fls</t>
  </si>
  <si>
    <t>Fld</t>
  </si>
  <si>
    <t>PKwon</t>
  </si>
  <si>
    <t>PKcon</t>
  </si>
  <si>
    <t>OG</t>
  </si>
  <si>
    <t>Recov</t>
  </si>
  <si>
    <t>Won</t>
  </si>
  <si>
    <t>Won%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</si>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</sst>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.4"/>
      <color rgb="FF000000"/>
      <name val="Verdana"/>
      <family val="2"/>
    </font>
    <font>
      <sz val="8"/>
      <name val="Calibri"/>
      <family val="2"/>
      <scheme val="minor"/>
    </font>
    <font>
      <sz val="9.4"/>
      <color rgb="FF3344DD"/>
      <name val="Verdana"/>
      <family val="2"/>
    </font>
    <font>
      <sz val="9"/>
      <color rgb="FF990000"/>
      <name val="Verdana"/>
      <family val="2"/>
    </font>
    <font>
      <sz val="9.4"/>
      <color rgb="FFFFFFFF"/>
      <name val="Verdana"/>
      <family val="2"/>
    </font>
    <font>
      <b/>
      <sz val="12"/>
      <color theme="0"/>
      <name val="Calibri"/>
      <family val="2"/>
      <scheme val="minor"/>
    </font>
    <font>
      <b/>
      <sz val="9.4"/>
      <color rgb="FF990000"/>
      <name val="Verdana"/>
      <family val="2"/>
    </font>
    <font>
      <sz val="9.4"/>
      <color rgb="FF008800"/>
      <name val="Verdana"/>
      <family val="2"/>
    </font>
    <font>
      <sz val="9.4"/>
      <color rgb="FFCC000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EEEEE"/>
        <bgColor indexed="64"/>
      </patternFill>
    </fill>
    <fill>
      <patternFill patternType="solid">
        <fgColor rgb="FFFFCC66"/>
        <bgColor indexed="64"/>
      </patternFill>
    </fill>
  </fills>
  <borders count="37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/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/>
      <right style="medium">
        <color rgb="FF747678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 style="thick">
        <color rgb="FF949698"/>
      </left>
      <right/>
      <top/>
      <bottom/>
      <diagonal/>
    </border>
    <border>
      <left/>
      <right style="thick">
        <color rgb="FF949698"/>
      </right>
      <top/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rgb="FFDDDDDD"/>
      </left>
      <right/>
      <top style="thin">
        <color theme="4" tint="0.39997558519241921"/>
      </top>
      <bottom/>
      <diagonal/>
    </border>
    <border>
      <left style="thick">
        <color rgb="FF949698"/>
      </left>
      <right/>
      <top style="thin">
        <color theme="4" tint="0.39997558519241921"/>
      </top>
      <bottom/>
      <diagonal/>
    </border>
    <border>
      <left style="medium">
        <color rgb="FFDDDDDD"/>
      </left>
      <right/>
      <top style="dotted">
        <color rgb="FFDDDDDD"/>
      </top>
      <bottom/>
      <diagonal/>
    </border>
    <border>
      <left style="thick">
        <color rgb="FF949698"/>
      </left>
      <right/>
      <top style="dotted">
        <color rgb="FFDDDDDD"/>
      </top>
      <bottom/>
      <diagonal/>
    </border>
    <border>
      <left style="medium">
        <color rgb="FFDDDDDD"/>
      </left>
      <right/>
      <top style="dotted">
        <color rgb="FFDDDDDD"/>
      </top>
      <bottom style="thin">
        <color theme="4" tint="0.39997558519241921"/>
      </bottom>
      <diagonal/>
    </border>
    <border>
      <left style="thick">
        <color rgb="FF949698"/>
      </left>
      <right/>
      <top style="dotted">
        <color rgb="FFDDDDDD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0">
    <xf numFmtId="0" fontId="0" fillId="0" borderId="0" xfId="0"/>
    <xf numFmtId="0" fontId="3" fillId="0" borderId="0" xfId="2"/>
    <xf numFmtId="3" fontId="4" fillId="7" borderId="1" xfId="0" applyNumberFormat="1" applyFont="1" applyFill="1" applyBorder="1" applyAlignment="1">
      <alignment horizontal="right" vertical="center"/>
    </xf>
    <xf numFmtId="3" fontId="4" fillId="7" borderId="2" xfId="0" applyNumberFormat="1" applyFont="1" applyFill="1" applyBorder="1" applyAlignment="1">
      <alignment horizontal="right" vertical="center"/>
    </xf>
    <xf numFmtId="2" fontId="0" fillId="0" borderId="0" xfId="0" applyNumberFormat="1"/>
    <xf numFmtId="9" fontId="0" fillId="0" borderId="0" xfId="1" applyFont="1"/>
    <xf numFmtId="10" fontId="0" fillId="0" borderId="0" xfId="0" applyNumberFormat="1"/>
    <xf numFmtId="0" fontId="3" fillId="7" borderId="3" xfId="2" applyFill="1" applyBorder="1" applyAlignment="1">
      <alignment horizontal="left" vertical="center"/>
    </xf>
    <xf numFmtId="164" fontId="0" fillId="0" borderId="0" xfId="0" applyNumberFormat="1"/>
    <xf numFmtId="0" fontId="2" fillId="6" borderId="0" xfId="0" applyFont="1" applyFill="1" applyAlignment="1">
      <alignment horizontal="center"/>
    </xf>
    <xf numFmtId="0" fontId="4" fillId="7" borderId="1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right" vertical="center"/>
    </xf>
    <xf numFmtId="0" fontId="0" fillId="0" borderId="0" xfId="1" applyNumberFormat="1" applyFont="1"/>
    <xf numFmtId="0" fontId="4" fillId="8" borderId="2" xfId="0" applyFont="1" applyFill="1" applyBorder="1" applyAlignment="1">
      <alignment horizontal="right" vertical="center"/>
    </xf>
    <xf numFmtId="0" fontId="0" fillId="9" borderId="0" xfId="0" applyFill="1"/>
    <xf numFmtId="0" fontId="0" fillId="7" borderId="0" xfId="0" applyFill="1"/>
    <xf numFmtId="0" fontId="3" fillId="7" borderId="4" xfId="2" applyFill="1" applyBorder="1" applyAlignment="1">
      <alignment horizontal="left" vertical="center"/>
    </xf>
    <xf numFmtId="0" fontId="6" fillId="7" borderId="1" xfId="0" applyFont="1" applyFill="1" applyBorder="1" applyAlignment="1">
      <alignment horizontal="right" vertical="center"/>
    </xf>
    <xf numFmtId="0" fontId="3" fillId="7" borderId="1" xfId="2" applyFill="1" applyBorder="1" applyAlignment="1">
      <alignment horizontal="right" vertical="center"/>
    </xf>
    <xf numFmtId="0" fontId="0" fillId="7" borderId="6" xfId="0" applyFill="1" applyBorder="1"/>
    <xf numFmtId="0" fontId="0" fillId="7" borderId="7" xfId="0" applyFill="1" applyBorder="1"/>
    <xf numFmtId="0" fontId="4" fillId="7" borderId="8" xfId="0" applyFont="1" applyFill="1" applyBorder="1" applyAlignment="1">
      <alignment horizontal="right" vertical="center"/>
    </xf>
    <xf numFmtId="0" fontId="4" fillId="7" borderId="9" xfId="0" applyFont="1" applyFill="1" applyBorder="1" applyAlignment="1">
      <alignment horizontal="left" vertical="center"/>
    </xf>
    <xf numFmtId="0" fontId="8" fillId="10" borderId="8" xfId="0" applyFont="1" applyFill="1" applyBorder="1" applyAlignment="1">
      <alignment horizontal="right" vertical="center"/>
    </xf>
    <xf numFmtId="0" fontId="8" fillId="8" borderId="0" xfId="0" applyFont="1" applyFill="1" applyAlignment="1">
      <alignment horizontal="right" vertical="center"/>
    </xf>
    <xf numFmtId="0" fontId="3" fillId="8" borderId="10" xfId="2" applyFill="1" applyBorder="1" applyAlignment="1">
      <alignment horizontal="left" vertical="center"/>
    </xf>
    <xf numFmtId="3" fontId="4" fillId="8" borderId="2" xfId="0" applyNumberFormat="1" applyFont="1" applyFill="1" applyBorder="1" applyAlignment="1">
      <alignment horizontal="right" vertical="center"/>
    </xf>
    <xf numFmtId="0" fontId="0" fillId="7" borderId="11" xfId="0" applyFill="1" applyBorder="1"/>
    <xf numFmtId="0" fontId="0" fillId="0" borderId="12" xfId="0" applyBorder="1"/>
    <xf numFmtId="0" fontId="0" fillId="0" borderId="13" xfId="0" applyBorder="1"/>
    <xf numFmtId="3" fontId="4" fillId="8" borderId="1" xfId="0" applyNumberFormat="1" applyFont="1" applyFill="1" applyBorder="1" applyAlignment="1">
      <alignment horizontal="right" vertical="center"/>
    </xf>
    <xf numFmtId="0" fontId="10" fillId="13" borderId="14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right" vertical="center"/>
    </xf>
    <xf numFmtId="0" fontId="10" fillId="13" borderId="15" xfId="0" applyFont="1" applyFill="1" applyBorder="1" applyAlignment="1">
      <alignment horizontal="center" vertical="center"/>
    </xf>
    <xf numFmtId="0" fontId="10" fillId="13" borderId="17" xfId="0" applyFont="1" applyFill="1" applyBorder="1" applyAlignment="1">
      <alignment horizontal="center" vertical="center"/>
    </xf>
    <xf numFmtId="0" fontId="10" fillId="13" borderId="18" xfId="0" applyFont="1" applyFill="1" applyBorder="1" applyAlignment="1">
      <alignment horizontal="center" vertical="center"/>
    </xf>
    <xf numFmtId="0" fontId="3" fillId="7" borderId="19" xfId="2" applyFill="1" applyBorder="1" applyAlignment="1">
      <alignment horizontal="left" vertical="center"/>
    </xf>
    <xf numFmtId="0" fontId="4" fillId="7" borderId="9" xfId="0" applyFont="1" applyFill="1" applyBorder="1" applyAlignment="1">
      <alignment horizontal="right" vertical="center"/>
    </xf>
    <xf numFmtId="0" fontId="3" fillId="8" borderId="19" xfId="2" applyFill="1" applyBorder="1" applyAlignment="1">
      <alignment horizontal="left" vertical="center"/>
    </xf>
    <xf numFmtId="0" fontId="4" fillId="8" borderId="9" xfId="0" applyFont="1" applyFill="1" applyBorder="1" applyAlignment="1">
      <alignment horizontal="right" vertical="center"/>
    </xf>
    <xf numFmtId="0" fontId="3" fillId="7" borderId="11" xfId="2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right" vertical="center"/>
    </xf>
    <xf numFmtId="0" fontId="10" fillId="13" borderId="22" xfId="0" applyFont="1" applyFill="1" applyBorder="1" applyAlignment="1">
      <alignment horizontal="center" vertical="center"/>
    </xf>
    <xf numFmtId="0" fontId="10" fillId="13" borderId="23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right" vertical="center"/>
    </xf>
    <xf numFmtId="0" fontId="12" fillId="7" borderId="9" xfId="0" applyFont="1" applyFill="1" applyBorder="1" applyAlignment="1">
      <alignment horizontal="right" vertical="center"/>
    </xf>
    <xf numFmtId="0" fontId="3" fillId="8" borderId="0" xfId="2" applyFill="1" applyBorder="1" applyAlignment="1">
      <alignment horizontal="left" vertical="center"/>
    </xf>
    <xf numFmtId="0" fontId="4" fillId="8" borderId="20" xfId="0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right" vertical="center"/>
    </xf>
    <xf numFmtId="0" fontId="12" fillId="8" borderId="24" xfId="0" applyFont="1" applyFill="1" applyBorder="1" applyAlignment="1">
      <alignment horizontal="right" vertical="center"/>
    </xf>
    <xf numFmtId="0" fontId="4" fillId="14" borderId="1" xfId="0" applyFont="1" applyFill="1" applyBorder="1" applyAlignment="1">
      <alignment horizontal="right" vertical="center"/>
    </xf>
    <xf numFmtId="0" fontId="4" fillId="14" borderId="16" xfId="0" applyFont="1" applyFill="1" applyBorder="1" applyAlignment="1">
      <alignment horizontal="right" vertical="center"/>
    </xf>
    <xf numFmtId="0" fontId="10" fillId="13" borderId="26" xfId="0" applyFont="1" applyFill="1" applyBorder="1" applyAlignment="1">
      <alignment horizontal="center" vertical="center"/>
    </xf>
    <xf numFmtId="0" fontId="10" fillId="13" borderId="27" xfId="0" applyFont="1" applyFill="1" applyBorder="1" applyAlignment="1">
      <alignment horizontal="center" vertical="center"/>
    </xf>
    <xf numFmtId="0" fontId="3" fillId="14" borderId="3" xfId="2" applyFill="1" applyBorder="1" applyAlignment="1">
      <alignment horizontal="left" vertical="center"/>
    </xf>
    <xf numFmtId="0" fontId="4" fillId="14" borderId="9" xfId="0" applyFont="1" applyFill="1" applyBorder="1" applyAlignment="1">
      <alignment horizontal="right" vertical="center"/>
    </xf>
    <xf numFmtId="0" fontId="3" fillId="7" borderId="0" xfId="2" applyFill="1" applyBorder="1" applyAlignment="1">
      <alignment horizontal="left" vertical="center"/>
    </xf>
    <xf numFmtId="0" fontId="4" fillId="7" borderId="24" xfId="0" applyFont="1" applyFill="1" applyBorder="1" applyAlignment="1">
      <alignment horizontal="right" vertical="center"/>
    </xf>
    <xf numFmtId="0" fontId="3" fillId="8" borderId="3" xfId="2" applyFill="1" applyBorder="1" applyAlignment="1">
      <alignment horizontal="left" vertical="center"/>
    </xf>
    <xf numFmtId="0" fontId="3" fillId="14" borderId="0" xfId="2" applyFill="1" applyBorder="1" applyAlignment="1">
      <alignment horizontal="left" vertical="center"/>
    </xf>
    <xf numFmtId="0" fontId="4" fillId="14" borderId="2" xfId="0" applyFont="1" applyFill="1" applyBorder="1" applyAlignment="1">
      <alignment horizontal="right" vertical="center"/>
    </xf>
    <xf numFmtId="0" fontId="4" fillId="14" borderId="20" xfId="0" applyFont="1" applyFill="1" applyBorder="1" applyAlignment="1">
      <alignment horizontal="right" vertical="center"/>
    </xf>
    <xf numFmtId="0" fontId="4" fillId="14" borderId="24" xfId="0" applyFont="1" applyFill="1" applyBorder="1" applyAlignment="1">
      <alignment horizontal="right" vertical="center"/>
    </xf>
    <xf numFmtId="0" fontId="9" fillId="11" borderId="28" xfId="0" applyFont="1" applyFill="1" applyBorder="1"/>
    <xf numFmtId="0" fontId="9" fillId="11" borderId="29" xfId="0" applyFont="1" applyFill="1" applyBorder="1"/>
    <xf numFmtId="0" fontId="9" fillId="11" borderId="30" xfId="0" applyFont="1" applyFill="1" applyBorder="1"/>
    <xf numFmtId="0" fontId="0" fillId="12" borderId="28" xfId="0" applyFill="1" applyBorder="1"/>
    <xf numFmtId="0" fontId="0" fillId="12" borderId="29" xfId="0" applyFill="1" applyBorder="1"/>
    <xf numFmtId="0" fontId="4" fillId="7" borderId="31" xfId="0" applyFont="1" applyFill="1" applyBorder="1" applyAlignment="1">
      <alignment horizontal="right" vertical="center"/>
    </xf>
    <xf numFmtId="0" fontId="4" fillId="7" borderId="32" xfId="0" applyFont="1" applyFill="1" applyBorder="1" applyAlignment="1">
      <alignment horizontal="right" vertical="center"/>
    </xf>
    <xf numFmtId="2" fontId="0" fillId="12" borderId="29" xfId="0" applyNumberFormat="1" applyFill="1" applyBorder="1"/>
    <xf numFmtId="3" fontId="4" fillId="7" borderId="31" xfId="0" applyNumberFormat="1" applyFont="1" applyFill="1" applyBorder="1" applyAlignment="1">
      <alignment horizontal="right" vertical="center"/>
    </xf>
    <xf numFmtId="0" fontId="0" fillId="12" borderId="30" xfId="0" applyFill="1" applyBorder="1"/>
    <xf numFmtId="0" fontId="0" fillId="0" borderId="28" xfId="0" applyBorder="1"/>
    <xf numFmtId="0" fontId="0" fillId="0" borderId="29" xfId="0" applyBorder="1"/>
    <xf numFmtId="0" fontId="4" fillId="7" borderId="33" xfId="0" applyFont="1" applyFill="1" applyBorder="1" applyAlignment="1">
      <alignment horizontal="right" vertical="center"/>
    </xf>
    <xf numFmtId="0" fontId="4" fillId="7" borderId="34" xfId="0" applyFont="1" applyFill="1" applyBorder="1" applyAlignment="1">
      <alignment horizontal="right" vertical="center"/>
    </xf>
    <xf numFmtId="2" fontId="0" fillId="0" borderId="29" xfId="0" applyNumberFormat="1" applyBorder="1"/>
    <xf numFmtId="3" fontId="4" fillId="7" borderId="33" xfId="0" applyNumberFormat="1" applyFont="1" applyFill="1" applyBorder="1" applyAlignment="1">
      <alignment horizontal="right" vertical="center"/>
    </xf>
    <xf numFmtId="0" fontId="0" fillId="0" borderId="30" xfId="0" applyBorder="1"/>
    <xf numFmtId="0" fontId="4" fillId="14" borderId="33" xfId="0" applyFont="1" applyFill="1" applyBorder="1" applyAlignment="1">
      <alignment horizontal="right" vertical="center"/>
    </xf>
    <xf numFmtId="0" fontId="4" fillId="8" borderId="33" xfId="0" applyFont="1" applyFill="1" applyBorder="1" applyAlignment="1">
      <alignment horizontal="right" vertical="center"/>
    </xf>
    <xf numFmtId="0" fontId="4" fillId="8" borderId="34" xfId="0" applyFont="1" applyFill="1" applyBorder="1" applyAlignment="1">
      <alignment horizontal="right" vertical="center"/>
    </xf>
    <xf numFmtId="3" fontId="4" fillId="8" borderId="33" xfId="0" applyNumberFormat="1" applyFont="1" applyFill="1" applyBorder="1" applyAlignment="1">
      <alignment horizontal="right" vertical="center"/>
    </xf>
    <xf numFmtId="0" fontId="4" fillId="7" borderId="35" xfId="0" applyFont="1" applyFill="1" applyBorder="1" applyAlignment="1">
      <alignment horizontal="right" vertical="center"/>
    </xf>
    <xf numFmtId="0" fontId="4" fillId="8" borderId="35" xfId="0" applyFont="1" applyFill="1" applyBorder="1" applyAlignment="1">
      <alignment horizontal="right" vertical="center"/>
    </xf>
    <xf numFmtId="0" fontId="4" fillId="14" borderId="35" xfId="0" applyFont="1" applyFill="1" applyBorder="1" applyAlignment="1">
      <alignment horizontal="right" vertical="center"/>
    </xf>
    <xf numFmtId="0" fontId="4" fillId="7" borderId="36" xfId="0" applyFont="1" applyFill="1" applyBorder="1" applyAlignment="1">
      <alignment horizontal="right" vertical="center"/>
    </xf>
    <xf numFmtId="2" fontId="0" fillId="0" borderId="13" xfId="0" applyNumberFormat="1" applyBorder="1"/>
    <xf numFmtId="3" fontId="4" fillId="7" borderId="35" xfId="0" applyNumberFormat="1" applyFont="1" applyFill="1" applyBorder="1" applyAlignment="1">
      <alignment horizontal="right" vertical="center"/>
    </xf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0" fillId="13" borderId="15" xfId="0" applyFont="1" applyFill="1" applyBorder="1" applyAlignment="1">
      <alignment horizontal="center" vertical="center"/>
    </xf>
    <xf numFmtId="0" fontId="10" fillId="13" borderId="21" xfId="0" applyFont="1" applyFill="1" applyBorder="1" applyAlignment="1">
      <alignment horizontal="center" vertical="center"/>
    </xf>
    <xf numFmtId="0" fontId="10" fillId="13" borderId="14" xfId="0" applyFont="1" applyFill="1" applyBorder="1" applyAlignment="1">
      <alignment horizontal="center" vertical="center"/>
    </xf>
    <xf numFmtId="0" fontId="10" fillId="13" borderId="22" xfId="0" applyFont="1" applyFill="1" applyBorder="1" applyAlignment="1">
      <alignment horizontal="center" vertical="center"/>
    </xf>
    <xf numFmtId="0" fontId="10" fillId="13" borderId="25" xfId="0" applyFont="1" applyFill="1" applyBorder="1" applyAlignment="1">
      <alignment horizontal="center" vertical="center"/>
    </xf>
    <xf numFmtId="0" fontId="10" fillId="13" borderId="23" xfId="0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emierleague.com/clubs/25/West-Ham-United/overview" TargetMode="External"/><Relationship Id="rId3" Type="http://schemas.openxmlformats.org/officeDocument/2006/relationships/hyperlink" Target="https://www.premierleague.com/clubs/34/Fulham/overview" TargetMode="External"/><Relationship Id="rId7" Type="http://schemas.openxmlformats.org/officeDocument/2006/relationships/hyperlink" Target="https://www.premierleague.com/clubs/21/Tottenham-Hotspur/overview" TargetMode="External"/><Relationship Id="rId2" Type="http://schemas.openxmlformats.org/officeDocument/2006/relationships/hyperlink" Target="https://www.premierleague.com/clubs/38/Wolverhampton-Wanderers/overview" TargetMode="External"/><Relationship Id="rId1" Type="http://schemas.openxmlformats.org/officeDocument/2006/relationships/hyperlink" Target="https://www.premierleague.com/clubs/131/Brighton-and-Hove-Albion/overview" TargetMode="External"/><Relationship Id="rId6" Type="http://schemas.openxmlformats.org/officeDocument/2006/relationships/hyperlink" Target="https://www.premierleague.com/clubs/18/Sheffield-United/overview" TargetMode="External"/><Relationship Id="rId5" Type="http://schemas.openxmlformats.org/officeDocument/2006/relationships/hyperlink" Target="https://www.premierleague.com/clubs/4/Chelsea/overview" TargetMode="External"/><Relationship Id="rId4" Type="http://schemas.openxmlformats.org/officeDocument/2006/relationships/hyperlink" Target="https://www.premierleague.com/clubs/15/Nottingham-Forest/overview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32</xdr:row>
      <xdr:rowOff>93345</xdr:rowOff>
    </xdr:to>
    <xdr:sp macro="" textlink="">
      <xdr:nvSpPr>
        <xdr:cNvPr id="1045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75DCD7-9A4F-56B9-4FD5-018A40F62E73}"/>
            </a:ext>
          </a:extLst>
        </xdr:cNvPr>
        <xdr:cNvSpPr>
          <a:spLocks noChangeAspect="1" noChangeArrowheads="1"/>
        </xdr:cNvSpPr>
      </xdr:nvSpPr>
      <xdr:spPr bwMode="auto">
        <a:xfrm>
          <a:off x="3931920" y="1727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32</xdr:row>
      <xdr:rowOff>102870</xdr:rowOff>
    </xdr:to>
    <xdr:sp macro="" textlink="">
      <xdr:nvSpPr>
        <xdr:cNvPr id="1046" name="AutoShape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C4B04B-46D6-D2F8-4E82-6781483E607F}"/>
            </a:ext>
          </a:extLst>
        </xdr:cNvPr>
        <xdr:cNvSpPr>
          <a:spLocks noChangeAspect="1" noChangeArrowheads="1"/>
        </xdr:cNvSpPr>
      </xdr:nvSpPr>
      <xdr:spPr bwMode="auto">
        <a:xfrm>
          <a:off x="3931920" y="1767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32</xdr:row>
      <xdr:rowOff>93345</xdr:rowOff>
    </xdr:to>
    <xdr:sp macro="" textlink="">
      <xdr:nvSpPr>
        <xdr:cNvPr id="1047" name="AutoShape 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D16A7E-CA0D-E474-F33E-79F05D8044DE}"/>
            </a:ext>
          </a:extLst>
        </xdr:cNvPr>
        <xdr:cNvSpPr>
          <a:spLocks noChangeAspect="1" noChangeArrowheads="1"/>
        </xdr:cNvSpPr>
      </xdr:nvSpPr>
      <xdr:spPr bwMode="auto">
        <a:xfrm>
          <a:off x="3931920" y="1826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32</xdr:row>
      <xdr:rowOff>97155</xdr:rowOff>
    </xdr:to>
    <xdr:sp macro="" textlink="">
      <xdr:nvSpPr>
        <xdr:cNvPr id="1049" name="AutoShape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85DB415-D7A9-B2EF-D988-027F89025194}"/>
            </a:ext>
          </a:extLst>
        </xdr:cNvPr>
        <xdr:cNvSpPr>
          <a:spLocks noChangeAspect="1" noChangeArrowheads="1"/>
        </xdr:cNvSpPr>
      </xdr:nvSpPr>
      <xdr:spPr bwMode="auto">
        <a:xfrm>
          <a:off x="393192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32</xdr:row>
      <xdr:rowOff>93345</xdr:rowOff>
    </xdr:to>
    <xdr:sp macro="" textlink="">
      <xdr:nvSpPr>
        <xdr:cNvPr id="1050" name="AutoShape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7B7DD57-4383-8EDB-BDBF-69ED084F5332}"/>
            </a:ext>
          </a:extLst>
        </xdr:cNvPr>
        <xdr:cNvSpPr>
          <a:spLocks noChangeAspect="1" noChangeArrowheads="1"/>
        </xdr:cNvSpPr>
      </xdr:nvSpPr>
      <xdr:spPr bwMode="auto">
        <a:xfrm>
          <a:off x="3931920" y="1925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32</xdr:row>
      <xdr:rowOff>93345</xdr:rowOff>
    </xdr:to>
    <xdr:sp macro="" textlink="">
      <xdr:nvSpPr>
        <xdr:cNvPr id="1051" name="AutoShape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C6DD031-0D3A-3F71-5168-BB5837C91EA4}"/>
            </a:ext>
          </a:extLst>
        </xdr:cNvPr>
        <xdr:cNvSpPr>
          <a:spLocks noChangeAspect="1" noChangeArrowheads="1"/>
        </xdr:cNvSpPr>
      </xdr:nvSpPr>
      <xdr:spPr bwMode="auto">
        <a:xfrm>
          <a:off x="3931920" y="194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32</xdr:row>
      <xdr:rowOff>97155</xdr:rowOff>
    </xdr:to>
    <xdr:sp macro="" textlink="">
      <xdr:nvSpPr>
        <xdr:cNvPr id="1052" name="AutoShape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6FF943-7339-1809-7D8A-F59310352481}"/>
            </a:ext>
          </a:extLst>
        </xdr:cNvPr>
        <xdr:cNvSpPr>
          <a:spLocks noChangeAspect="1" noChangeArrowheads="1"/>
        </xdr:cNvSpPr>
      </xdr:nvSpPr>
      <xdr:spPr bwMode="auto">
        <a:xfrm>
          <a:off x="3931920" y="198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32</xdr:row>
      <xdr:rowOff>93345</xdr:rowOff>
    </xdr:to>
    <xdr:sp macro="" textlink="">
      <xdr:nvSpPr>
        <xdr:cNvPr id="1053" name="AutoShape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1F4F5F0-5BC3-3504-D330-99985C42B66B}"/>
            </a:ext>
          </a:extLst>
        </xdr:cNvPr>
        <xdr:cNvSpPr>
          <a:spLocks noChangeAspect="1" noChangeArrowheads="1"/>
        </xdr:cNvSpPr>
      </xdr:nvSpPr>
      <xdr:spPr bwMode="auto">
        <a:xfrm>
          <a:off x="3931920" y="2024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123825</xdr:colOff>
      <xdr:row>1</xdr:row>
      <xdr:rowOff>123825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D9B9D67B-30C5-CC60-43C4-A759C219F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00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123825</xdr:colOff>
      <xdr:row>2</xdr:row>
      <xdr:rowOff>123825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4E76F797-FC1D-6CF7-DAA6-2C1989012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09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123825</xdr:colOff>
      <xdr:row>3</xdr:row>
      <xdr:rowOff>123825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C9833844-0924-B858-5F8A-9D8727DC5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619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123825</xdr:colOff>
      <xdr:row>4</xdr:row>
      <xdr:rowOff>123825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8DAF47D5-4F5A-0FCB-63A5-F096844A1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828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123825</xdr:colOff>
      <xdr:row>5</xdr:row>
      <xdr:rowOff>123825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A23DD3FF-D4F9-3862-D496-BBE17D7CC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038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123825</xdr:colOff>
      <xdr:row>6</xdr:row>
      <xdr:rowOff>123825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EAEB55C9-7A57-7DD6-BB7B-57F335EB1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247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123825</xdr:colOff>
      <xdr:row>7</xdr:row>
      <xdr:rowOff>123825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EA2582C2-7D84-EDDD-4398-59F873C1B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457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123825</xdr:colOff>
      <xdr:row>8</xdr:row>
      <xdr:rowOff>123825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4B86C172-7FBF-F726-F267-85B493C6A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666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6BB144CC-7A36-07AF-996F-7150B03D6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87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123825</xdr:colOff>
      <xdr:row>10</xdr:row>
      <xdr:rowOff>123825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232B137F-A4EE-7D83-ED3B-C330B8353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085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123825</xdr:colOff>
      <xdr:row>11</xdr:row>
      <xdr:rowOff>123825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6E257E25-10EC-BFBF-D866-66B52EC76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295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123825</xdr:colOff>
      <xdr:row>12</xdr:row>
      <xdr:rowOff>123825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8B049D73-87CB-7072-9507-FC1DB13B6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505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123825</xdr:colOff>
      <xdr:row>13</xdr:row>
      <xdr:rowOff>123825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45BD5404-3AE8-38F0-99BF-2591FE6D3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714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123825</xdr:colOff>
      <xdr:row>14</xdr:row>
      <xdr:rowOff>123825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A6BE329A-26D8-59E1-999F-E509E6AB2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924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123825</xdr:colOff>
      <xdr:row>15</xdr:row>
      <xdr:rowOff>123825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FEFDA787-E7FA-E53C-6B37-666D14955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3133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E2C6F90B-9A34-0C4A-BDD0-D0F2A3B80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3343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1FEC5407-2772-0EBA-3148-B6BFD15E1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3552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123825</xdr:colOff>
      <xdr:row>18</xdr:row>
      <xdr:rowOff>123825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CD2EDFA0-C761-B5C5-A1FA-71238DEBB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376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123825</xdr:colOff>
      <xdr:row>19</xdr:row>
      <xdr:rowOff>123825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96DE28A3-3AC1-7161-A00E-00AC1B89B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3971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123825</xdr:colOff>
      <xdr:row>20</xdr:row>
      <xdr:rowOff>123825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7DBA4421-2776-95D9-C7C7-7FD3C449B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181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emierleague.com/stats/top/clubs/wins" TargetMode="External"/><Relationship Id="rId2" Type="http://schemas.openxmlformats.org/officeDocument/2006/relationships/hyperlink" Target="https://footystats.org/england/premier-league" TargetMode="External"/><Relationship Id="rId1" Type="http://schemas.openxmlformats.org/officeDocument/2006/relationships/hyperlink" Target="https://fbref.com/en/comps/9/shooting/Premier-League-Stats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transfermarkt.mx/premier-league/startseite/wettbewerb/GB1/saison_id/2015" TargetMode="External"/><Relationship Id="rId4" Type="http://schemas.openxmlformats.org/officeDocument/2006/relationships/hyperlink" Target="https://www.transfermarkt.mx/premier-league/einnahmenausgaben/wettbewerb/GB1/plus/0?ids=a&amp;sa=&amp;saison_id=2015&amp;saison_id_bis=2015&amp;nat=&amp;pos=&amp;altersklasse=&amp;w_s=&amp;leihe=&amp;intern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bref.com/en/squads/19538871/2017-2018/Manchester-United-Stat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emierleague.com/stats/top/clubs/wins" TargetMode="External"/><Relationship Id="rId2" Type="http://schemas.openxmlformats.org/officeDocument/2006/relationships/hyperlink" Target="https://footystats.org/england/premier-league" TargetMode="External"/><Relationship Id="rId1" Type="http://schemas.openxmlformats.org/officeDocument/2006/relationships/hyperlink" Target="https://fbref.com/en/comps/9/shooting/Premier-League-Stats" TargetMode="External"/><Relationship Id="rId5" Type="http://schemas.openxmlformats.org/officeDocument/2006/relationships/hyperlink" Target="https://www.transfermarkt.mx/premier-league/startseite/wettbewerb/GB1/saison_id/2015" TargetMode="External"/><Relationship Id="rId4" Type="http://schemas.openxmlformats.org/officeDocument/2006/relationships/hyperlink" Target="https://www.transfermarkt.mx/premier-league/einnahmenausgaben/wettbewerb/GB1/plus/0?ids=a&amp;sa=&amp;saison_id=2015&amp;saison_id_bis=2015&amp;nat=&amp;pos=&amp;altersklasse=&amp;w_s=&amp;leihe=&amp;intern=0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8602292d/2023-2024/Aston-Villa-Stats" TargetMode="External"/><Relationship Id="rId21" Type="http://schemas.openxmlformats.org/officeDocument/2006/relationships/hyperlink" Target="https://fbref.com/en/players/3a949a25/Martin-Dubravka" TargetMode="External"/><Relationship Id="rId42" Type="http://schemas.openxmlformats.org/officeDocument/2006/relationships/hyperlink" Target="https://fbref.com/en/players/4806ec67/Jordan-Pickford" TargetMode="External"/><Relationship Id="rId63" Type="http://schemas.openxmlformats.org/officeDocument/2006/relationships/hyperlink" Target="https://fbref.com/en/squads/47c64c55/2023-2024/Crystal-Palace-Stats" TargetMode="External"/><Relationship Id="rId84" Type="http://schemas.openxmlformats.org/officeDocument/2006/relationships/hyperlink" Target="https://fbref.com/en/squads/d3fd31cc/2023-2024/Everton-Stats" TargetMode="External"/><Relationship Id="rId138" Type="http://schemas.openxmlformats.org/officeDocument/2006/relationships/hyperlink" Target="https://fbref.com/en/squads/4ba7cbea/2023-2024/Bournemouth-Stats" TargetMode="External"/><Relationship Id="rId107" Type="http://schemas.openxmlformats.org/officeDocument/2006/relationships/hyperlink" Target="https://fbref.com/en/squads/e297cd13/2023-2024/Luton-Town-Stats" TargetMode="External"/><Relationship Id="rId11" Type="http://schemas.openxmlformats.org/officeDocument/2006/relationships/hyperlink" Target="https://fbref.com/en/players/aed3a70f/Ollie-Watkins" TargetMode="External"/><Relationship Id="rId32" Type="http://schemas.openxmlformats.org/officeDocument/2006/relationships/hyperlink" Target="https://fbref.com/en/players/cf134113/Bart-Verbruggen" TargetMode="External"/><Relationship Id="rId53" Type="http://schemas.openxmlformats.org/officeDocument/2006/relationships/hyperlink" Target="https://fbref.com/en/players/4e204552/Jacob-Bruun-Larsen" TargetMode="External"/><Relationship Id="rId74" Type="http://schemas.openxmlformats.org/officeDocument/2006/relationships/hyperlink" Target="https://fbref.com/en/squads/7c21e445/2023-2024/West-Ham-United-Stats" TargetMode="External"/><Relationship Id="rId128" Type="http://schemas.openxmlformats.org/officeDocument/2006/relationships/hyperlink" Target="https://fbref.com/en/squads/b8fd03ef/2023-2024/Manchester-City-Stats" TargetMode="External"/><Relationship Id="rId149" Type="http://schemas.openxmlformats.org/officeDocument/2006/relationships/hyperlink" Target="https://fbref.com/en/squads/19538871/2023-2024/Manchester-United-Stats" TargetMode="External"/><Relationship Id="rId5" Type="http://schemas.openxmlformats.org/officeDocument/2006/relationships/hyperlink" Target="https://fbref.com/en/players/bc7dc64d/Bukayo-Saka" TargetMode="External"/><Relationship Id="rId95" Type="http://schemas.openxmlformats.org/officeDocument/2006/relationships/hyperlink" Target="https://fbref.com/en/squads/8cec06e1/2023-2024/Wolverhampton-Wanderers-Stats" TargetMode="External"/><Relationship Id="rId22" Type="http://schemas.openxmlformats.org/officeDocument/2006/relationships/hyperlink" Target="https://fbref.com/en/squads/19538871/2023-2024/Manchester-United-Stats" TargetMode="External"/><Relationship Id="rId27" Type="http://schemas.openxmlformats.org/officeDocument/2006/relationships/hyperlink" Target="https://fbref.com/en/squads/47c64c55/2023-2024/Crystal-Palace-Stats" TargetMode="External"/><Relationship Id="rId43" Type="http://schemas.openxmlformats.org/officeDocument/2006/relationships/hyperlink" Target="https://fbref.com/en/squads/cd051869/2023-2024/Brentford-Stats" TargetMode="External"/><Relationship Id="rId48" Type="http://schemas.openxmlformats.org/officeDocument/2006/relationships/hyperlink" Target="https://fbref.com/en/players/4a51ba65/Matt-Turner" TargetMode="External"/><Relationship Id="rId64" Type="http://schemas.openxmlformats.org/officeDocument/2006/relationships/hyperlink" Target="https://fbref.com/en/squads/d3fd31cc/2023-2024/Everton-Stats" TargetMode="External"/><Relationship Id="rId69" Type="http://schemas.openxmlformats.org/officeDocument/2006/relationships/hyperlink" Target="https://fbref.com/en/squads/19538871/2023-2024/Manchester-United-Stats" TargetMode="External"/><Relationship Id="rId113" Type="http://schemas.openxmlformats.org/officeDocument/2006/relationships/hyperlink" Target="https://fbref.com/en/squads/361ca564/2023-2024/Tottenham-Hotspur-Stats" TargetMode="External"/><Relationship Id="rId118" Type="http://schemas.openxmlformats.org/officeDocument/2006/relationships/hyperlink" Target="https://fbref.com/en/squads/4ba7cbea/2023-2024/Bournemouth-Stats" TargetMode="External"/><Relationship Id="rId134" Type="http://schemas.openxmlformats.org/officeDocument/2006/relationships/hyperlink" Target="https://fbref.com/en/squads/7c21e445/2023-2024/West-Ham-United-Stats" TargetMode="External"/><Relationship Id="rId139" Type="http://schemas.openxmlformats.org/officeDocument/2006/relationships/hyperlink" Target="https://fbref.com/en/squads/cd051869/2023-2024/Brentford-Stats" TargetMode="External"/><Relationship Id="rId80" Type="http://schemas.openxmlformats.org/officeDocument/2006/relationships/hyperlink" Target="https://fbref.com/en/squads/d07537b9/2023-2024/Brighton-and-Hove-Albion-Stats" TargetMode="External"/><Relationship Id="rId85" Type="http://schemas.openxmlformats.org/officeDocument/2006/relationships/hyperlink" Target="https://fbref.com/en/squads/fd962109/2023-2024/Fulham-Stats" TargetMode="External"/><Relationship Id="rId150" Type="http://schemas.openxmlformats.org/officeDocument/2006/relationships/hyperlink" Target="https://fbref.com/en/squads/b2b47a98/2023-2024/Newcastle-United-Stats" TargetMode="External"/><Relationship Id="rId155" Type="http://schemas.openxmlformats.org/officeDocument/2006/relationships/hyperlink" Target="https://fbref.com/en/squads/8cec06e1/2023-2024/Wolverhampton-Wanderers-Stats" TargetMode="External"/><Relationship Id="rId12" Type="http://schemas.openxmlformats.org/officeDocument/2006/relationships/hyperlink" Target="https://fbref.com/en/players/7956236f/Emiliano-Martinez" TargetMode="External"/><Relationship Id="rId17" Type="http://schemas.openxmlformats.org/officeDocument/2006/relationships/hyperlink" Target="https://fbref.com/en/players/dc7f8a28/Cole-Palmer" TargetMode="External"/><Relationship Id="rId33" Type="http://schemas.openxmlformats.org/officeDocument/2006/relationships/hyperlink" Target="https://fbref.com/en/squads/4ba7cbea/2023-2024/Bournemouth-Stats" TargetMode="External"/><Relationship Id="rId38" Type="http://schemas.openxmlformats.org/officeDocument/2006/relationships/hyperlink" Target="https://fbref.com/en/players/2628fd2b/Bernd-Leno" TargetMode="External"/><Relationship Id="rId59" Type="http://schemas.openxmlformats.org/officeDocument/2006/relationships/hyperlink" Target="https://fbref.com/en/squads/cd051869/2023-2024/Brentford-Stats" TargetMode="External"/><Relationship Id="rId103" Type="http://schemas.openxmlformats.org/officeDocument/2006/relationships/hyperlink" Target="https://fbref.com/en/squads/47c64c55/2023-2024/Crystal-Palace-Stats" TargetMode="External"/><Relationship Id="rId108" Type="http://schemas.openxmlformats.org/officeDocument/2006/relationships/hyperlink" Target="https://fbref.com/en/squads/b8fd03ef/2023-2024/Manchester-City-Stats" TargetMode="External"/><Relationship Id="rId124" Type="http://schemas.openxmlformats.org/officeDocument/2006/relationships/hyperlink" Target="https://fbref.com/en/squads/d3fd31cc/2023-2024/Everton-Stats" TargetMode="External"/><Relationship Id="rId129" Type="http://schemas.openxmlformats.org/officeDocument/2006/relationships/hyperlink" Target="https://fbref.com/en/squads/19538871/2023-2024/Manchester-United-Stats" TargetMode="External"/><Relationship Id="rId54" Type="http://schemas.openxmlformats.org/officeDocument/2006/relationships/hyperlink" Target="https://fbref.com/en/players/259fea27/James-Trafford" TargetMode="External"/><Relationship Id="rId70" Type="http://schemas.openxmlformats.org/officeDocument/2006/relationships/hyperlink" Target="https://fbref.com/en/squads/b2b47a98/2023-2024/Newcastle-United-Stats" TargetMode="External"/><Relationship Id="rId75" Type="http://schemas.openxmlformats.org/officeDocument/2006/relationships/hyperlink" Target="https://fbref.com/en/squads/8cec06e1/2023-2024/Wolverhampton-Wanderers-Stats" TargetMode="External"/><Relationship Id="rId91" Type="http://schemas.openxmlformats.org/officeDocument/2006/relationships/hyperlink" Target="https://fbref.com/en/squads/e4a775cb/2023-2024/Nottingham-Forest-Stats" TargetMode="External"/><Relationship Id="rId96" Type="http://schemas.openxmlformats.org/officeDocument/2006/relationships/hyperlink" Target="https://fbref.com/en/squads/18bb7c10/2023-2024/Arsenal-Stats" TargetMode="External"/><Relationship Id="rId140" Type="http://schemas.openxmlformats.org/officeDocument/2006/relationships/hyperlink" Target="https://fbref.com/en/squads/d07537b9/2023-2024/Brighton-and-Hove-Albion-Stats" TargetMode="External"/><Relationship Id="rId145" Type="http://schemas.openxmlformats.org/officeDocument/2006/relationships/hyperlink" Target="https://fbref.com/en/squads/fd962109/2023-2024/Fulham-Stats" TargetMode="External"/><Relationship Id="rId1" Type="http://schemas.openxmlformats.org/officeDocument/2006/relationships/hyperlink" Target="https://fbref.com/en/squads/b8fd03ef/2023-2024/Manchester-City-Stats" TargetMode="External"/><Relationship Id="rId6" Type="http://schemas.openxmlformats.org/officeDocument/2006/relationships/hyperlink" Target="https://fbref.com/en/players/98ea5115/David-Raya" TargetMode="External"/><Relationship Id="rId23" Type="http://schemas.openxmlformats.org/officeDocument/2006/relationships/hyperlink" Target="https://fbref.com/en/players/e9c0c1b2/Andre-Onana" TargetMode="External"/><Relationship Id="rId28" Type="http://schemas.openxmlformats.org/officeDocument/2006/relationships/hyperlink" Target="https://fbref.com/en/players/50e6dc35/Jean-Philippe-Mateta" TargetMode="External"/><Relationship Id="rId49" Type="http://schemas.openxmlformats.org/officeDocument/2006/relationships/hyperlink" Target="https://fbref.com/en/squads/e297cd13/2023-2024/Luton-Town-Stats" TargetMode="External"/><Relationship Id="rId114" Type="http://schemas.openxmlformats.org/officeDocument/2006/relationships/hyperlink" Target="https://fbref.com/en/squads/7c21e445/2023-2024/West-Ham-United-Stats" TargetMode="External"/><Relationship Id="rId119" Type="http://schemas.openxmlformats.org/officeDocument/2006/relationships/hyperlink" Target="https://fbref.com/en/squads/cd051869/2023-2024/Brentford-Stats" TargetMode="External"/><Relationship Id="rId44" Type="http://schemas.openxmlformats.org/officeDocument/2006/relationships/hyperlink" Target="https://fbref.com/en/players/2500cef9/Yoane-Wissa" TargetMode="External"/><Relationship Id="rId60" Type="http://schemas.openxmlformats.org/officeDocument/2006/relationships/hyperlink" Target="https://fbref.com/en/squads/d07537b9/2023-2024/Brighton-and-Hove-Albion-Stats" TargetMode="External"/><Relationship Id="rId65" Type="http://schemas.openxmlformats.org/officeDocument/2006/relationships/hyperlink" Target="https://fbref.com/en/squads/fd962109/2023-2024/Fulham-Stats" TargetMode="External"/><Relationship Id="rId81" Type="http://schemas.openxmlformats.org/officeDocument/2006/relationships/hyperlink" Target="https://fbref.com/en/squads/943e8050/2023-2024/Burnley-Stats" TargetMode="External"/><Relationship Id="rId86" Type="http://schemas.openxmlformats.org/officeDocument/2006/relationships/hyperlink" Target="https://fbref.com/en/squads/822bd0ba/2023-2024/Liverpool-Stats" TargetMode="External"/><Relationship Id="rId130" Type="http://schemas.openxmlformats.org/officeDocument/2006/relationships/hyperlink" Target="https://fbref.com/en/squads/b2b47a98/2023-2024/Newcastle-United-Stats" TargetMode="External"/><Relationship Id="rId135" Type="http://schemas.openxmlformats.org/officeDocument/2006/relationships/hyperlink" Target="https://fbref.com/en/squads/8cec06e1/2023-2024/Wolverhampton-Wanderers-Stats" TargetMode="External"/><Relationship Id="rId151" Type="http://schemas.openxmlformats.org/officeDocument/2006/relationships/hyperlink" Target="https://fbref.com/en/squads/e4a775cb/2023-2024/Nottingham-Forest-Stats" TargetMode="External"/><Relationship Id="rId156" Type="http://schemas.openxmlformats.org/officeDocument/2006/relationships/drawing" Target="../drawings/drawing2.xml"/><Relationship Id="rId13" Type="http://schemas.openxmlformats.org/officeDocument/2006/relationships/hyperlink" Target="https://fbref.com/en/squads/361ca564/2023-2024/Tottenham-Hotspur-Stats" TargetMode="External"/><Relationship Id="rId18" Type="http://schemas.openxmlformats.org/officeDocument/2006/relationships/hyperlink" Target="https://fbref.com/en/players/0cf321c8/Djordje-Petrovic" TargetMode="External"/><Relationship Id="rId39" Type="http://schemas.openxmlformats.org/officeDocument/2006/relationships/hyperlink" Target="https://fbref.com/en/squads/8cec06e1/2023-2024/Wolverhampton-Wanderers-Stats" TargetMode="External"/><Relationship Id="rId109" Type="http://schemas.openxmlformats.org/officeDocument/2006/relationships/hyperlink" Target="https://fbref.com/en/squads/19538871/2023-2024/Manchester-United-Stats" TargetMode="External"/><Relationship Id="rId34" Type="http://schemas.openxmlformats.org/officeDocument/2006/relationships/hyperlink" Target="https://fbref.com/en/players/e77dc3b2/Dominic-Solanke" TargetMode="External"/><Relationship Id="rId50" Type="http://schemas.openxmlformats.org/officeDocument/2006/relationships/hyperlink" Target="https://fbref.com/en/players/2da834f1/Carlton-Morris" TargetMode="External"/><Relationship Id="rId55" Type="http://schemas.openxmlformats.org/officeDocument/2006/relationships/hyperlink" Target="https://fbref.com/en/squads/1df6b87e/2023-2024/Sheffield-United-Stats" TargetMode="External"/><Relationship Id="rId76" Type="http://schemas.openxmlformats.org/officeDocument/2006/relationships/hyperlink" Target="https://fbref.com/en/squads/18bb7c10/2023-2024/Arsenal-Stats" TargetMode="External"/><Relationship Id="rId97" Type="http://schemas.openxmlformats.org/officeDocument/2006/relationships/hyperlink" Target="https://fbref.com/en/squads/8602292d/2023-2024/Aston-Villa-Stats" TargetMode="External"/><Relationship Id="rId104" Type="http://schemas.openxmlformats.org/officeDocument/2006/relationships/hyperlink" Target="https://fbref.com/en/squads/d3fd31cc/2023-2024/Everton-Stats" TargetMode="External"/><Relationship Id="rId120" Type="http://schemas.openxmlformats.org/officeDocument/2006/relationships/hyperlink" Target="https://fbref.com/en/squads/d07537b9/2023-2024/Brighton-and-Hove-Albion-Stats" TargetMode="External"/><Relationship Id="rId125" Type="http://schemas.openxmlformats.org/officeDocument/2006/relationships/hyperlink" Target="https://fbref.com/en/squads/fd962109/2023-2024/Fulham-Stats" TargetMode="External"/><Relationship Id="rId141" Type="http://schemas.openxmlformats.org/officeDocument/2006/relationships/hyperlink" Target="https://fbref.com/en/squads/943e8050/2023-2024/Burnley-Stats" TargetMode="External"/><Relationship Id="rId146" Type="http://schemas.openxmlformats.org/officeDocument/2006/relationships/hyperlink" Target="https://fbref.com/en/squads/822bd0ba/2023-2024/Liverpool-Stats" TargetMode="External"/><Relationship Id="rId7" Type="http://schemas.openxmlformats.org/officeDocument/2006/relationships/hyperlink" Target="https://fbref.com/en/squads/822bd0ba/2023-2024/Liverpool-Stats" TargetMode="External"/><Relationship Id="rId71" Type="http://schemas.openxmlformats.org/officeDocument/2006/relationships/hyperlink" Target="https://fbref.com/en/squads/e4a775cb/2023-2024/Nottingham-Forest-Stats" TargetMode="External"/><Relationship Id="rId92" Type="http://schemas.openxmlformats.org/officeDocument/2006/relationships/hyperlink" Target="https://fbref.com/en/squads/1df6b87e/2023-2024/Sheffield-United-Stats" TargetMode="External"/><Relationship Id="rId2" Type="http://schemas.openxmlformats.org/officeDocument/2006/relationships/hyperlink" Target="https://fbref.com/en/players/1f44ac21/Erling-Haaland" TargetMode="External"/><Relationship Id="rId29" Type="http://schemas.openxmlformats.org/officeDocument/2006/relationships/hyperlink" Target="https://fbref.com/en/players/9e5708be/Sam-Johnstone" TargetMode="External"/><Relationship Id="rId24" Type="http://schemas.openxmlformats.org/officeDocument/2006/relationships/hyperlink" Target="https://fbref.com/en/squads/7c21e445/2023-2024/West-Ham-United-Stats" TargetMode="External"/><Relationship Id="rId40" Type="http://schemas.openxmlformats.org/officeDocument/2006/relationships/hyperlink" Target="https://fbref.com/en/players/903b6e8b/Jose-Sa" TargetMode="External"/><Relationship Id="rId45" Type="http://schemas.openxmlformats.org/officeDocument/2006/relationships/hyperlink" Target="https://fbref.com/en/players/a92ab7be/Mark-Flekken" TargetMode="External"/><Relationship Id="rId66" Type="http://schemas.openxmlformats.org/officeDocument/2006/relationships/hyperlink" Target="https://fbref.com/en/squads/822bd0ba/2023-2024/Liverpool-Stats" TargetMode="External"/><Relationship Id="rId87" Type="http://schemas.openxmlformats.org/officeDocument/2006/relationships/hyperlink" Target="https://fbref.com/en/squads/e297cd13/2023-2024/Luton-Town-Stats" TargetMode="External"/><Relationship Id="rId110" Type="http://schemas.openxmlformats.org/officeDocument/2006/relationships/hyperlink" Target="https://fbref.com/en/squads/b2b47a98/2023-2024/Newcastle-United-Stats" TargetMode="External"/><Relationship Id="rId115" Type="http://schemas.openxmlformats.org/officeDocument/2006/relationships/hyperlink" Target="https://fbref.com/en/squads/8cec06e1/2023-2024/Wolverhampton-Wanderers-Stats" TargetMode="External"/><Relationship Id="rId131" Type="http://schemas.openxmlformats.org/officeDocument/2006/relationships/hyperlink" Target="https://fbref.com/en/squads/e4a775cb/2023-2024/Nottingham-Forest-Stats" TargetMode="External"/><Relationship Id="rId136" Type="http://schemas.openxmlformats.org/officeDocument/2006/relationships/hyperlink" Target="https://fbref.com/en/squads/18bb7c10/2023-2024/Arsenal-Stats" TargetMode="External"/><Relationship Id="rId61" Type="http://schemas.openxmlformats.org/officeDocument/2006/relationships/hyperlink" Target="https://fbref.com/en/squads/943e8050/2023-2024/Burnley-Stats" TargetMode="External"/><Relationship Id="rId82" Type="http://schemas.openxmlformats.org/officeDocument/2006/relationships/hyperlink" Target="https://fbref.com/en/squads/cff3d9bb/2023-2024/Chelsea-Stats" TargetMode="External"/><Relationship Id="rId152" Type="http://schemas.openxmlformats.org/officeDocument/2006/relationships/hyperlink" Target="https://fbref.com/en/squads/1df6b87e/2023-2024/Sheffield-United-Stats" TargetMode="External"/><Relationship Id="rId19" Type="http://schemas.openxmlformats.org/officeDocument/2006/relationships/hyperlink" Target="https://fbref.com/en/squads/b2b47a98/2023-2024/Newcastle-United-Stats" TargetMode="External"/><Relationship Id="rId14" Type="http://schemas.openxmlformats.org/officeDocument/2006/relationships/hyperlink" Target="https://fbref.com/en/players/92e7e919/Son-Heung-min" TargetMode="External"/><Relationship Id="rId30" Type="http://schemas.openxmlformats.org/officeDocument/2006/relationships/hyperlink" Target="https://fbref.com/en/squads/d07537b9/2023-2024/Brighton-and-Hove-Albion-Stats" TargetMode="External"/><Relationship Id="rId35" Type="http://schemas.openxmlformats.org/officeDocument/2006/relationships/hyperlink" Target="https://fbref.com/en/players/a9dc785c/Neto" TargetMode="External"/><Relationship Id="rId56" Type="http://schemas.openxmlformats.org/officeDocument/2006/relationships/hyperlink" Target="https://fbref.com/en/squads/18bb7c10/2023-2024/Arsenal-Stats" TargetMode="External"/><Relationship Id="rId77" Type="http://schemas.openxmlformats.org/officeDocument/2006/relationships/hyperlink" Target="https://fbref.com/en/squads/8602292d/2023-2024/Aston-Villa-Stats" TargetMode="External"/><Relationship Id="rId100" Type="http://schemas.openxmlformats.org/officeDocument/2006/relationships/hyperlink" Target="https://fbref.com/en/squads/d07537b9/2023-2024/Brighton-and-Hove-Albion-Stats" TargetMode="External"/><Relationship Id="rId105" Type="http://schemas.openxmlformats.org/officeDocument/2006/relationships/hyperlink" Target="https://fbref.com/en/squads/fd962109/2023-2024/Fulham-Stats" TargetMode="External"/><Relationship Id="rId126" Type="http://schemas.openxmlformats.org/officeDocument/2006/relationships/hyperlink" Target="https://fbref.com/en/squads/822bd0ba/2023-2024/Liverpool-Stats" TargetMode="External"/><Relationship Id="rId147" Type="http://schemas.openxmlformats.org/officeDocument/2006/relationships/hyperlink" Target="https://fbref.com/en/squads/e297cd13/2023-2024/Luton-Town-Stats" TargetMode="External"/><Relationship Id="rId8" Type="http://schemas.openxmlformats.org/officeDocument/2006/relationships/hyperlink" Target="https://fbref.com/en/players/e342ad68/Mohamed-Salah" TargetMode="External"/><Relationship Id="rId51" Type="http://schemas.openxmlformats.org/officeDocument/2006/relationships/hyperlink" Target="https://fbref.com/en/players/1caa93a5/Thomas-Kaminski" TargetMode="External"/><Relationship Id="rId72" Type="http://schemas.openxmlformats.org/officeDocument/2006/relationships/hyperlink" Target="https://fbref.com/en/squads/1df6b87e/2023-2024/Sheffield-United-Stats" TargetMode="External"/><Relationship Id="rId93" Type="http://schemas.openxmlformats.org/officeDocument/2006/relationships/hyperlink" Target="https://fbref.com/en/squads/361ca564/2023-2024/Tottenham-Hotspur-Stats" TargetMode="External"/><Relationship Id="rId98" Type="http://schemas.openxmlformats.org/officeDocument/2006/relationships/hyperlink" Target="https://fbref.com/en/squads/4ba7cbea/2023-2024/Bournemouth-Stats" TargetMode="External"/><Relationship Id="rId121" Type="http://schemas.openxmlformats.org/officeDocument/2006/relationships/hyperlink" Target="https://fbref.com/en/squads/943e8050/2023-2024/Burnley-Stats" TargetMode="External"/><Relationship Id="rId142" Type="http://schemas.openxmlformats.org/officeDocument/2006/relationships/hyperlink" Target="https://fbref.com/en/squads/cff3d9bb/2023-2024/Chelsea-Stats" TargetMode="External"/><Relationship Id="rId3" Type="http://schemas.openxmlformats.org/officeDocument/2006/relationships/hyperlink" Target="https://fbref.com/en/players/3bb7b8b4/Ederson" TargetMode="External"/><Relationship Id="rId25" Type="http://schemas.openxmlformats.org/officeDocument/2006/relationships/hyperlink" Target="https://fbref.com/en/players/79c84d1c/Jarrod-Bowen" TargetMode="External"/><Relationship Id="rId46" Type="http://schemas.openxmlformats.org/officeDocument/2006/relationships/hyperlink" Target="https://fbref.com/en/squads/e4a775cb/2023-2024/Nottingham-Forest-Stats" TargetMode="External"/><Relationship Id="rId67" Type="http://schemas.openxmlformats.org/officeDocument/2006/relationships/hyperlink" Target="https://fbref.com/en/squads/e297cd13/2023-2024/Luton-Town-Stats" TargetMode="External"/><Relationship Id="rId116" Type="http://schemas.openxmlformats.org/officeDocument/2006/relationships/hyperlink" Target="https://fbref.com/en/squads/18bb7c10/2023-2024/Arsenal-Stats" TargetMode="External"/><Relationship Id="rId137" Type="http://schemas.openxmlformats.org/officeDocument/2006/relationships/hyperlink" Target="https://fbref.com/en/squads/8602292d/2023-2024/Aston-Villa-Stats" TargetMode="External"/><Relationship Id="rId20" Type="http://schemas.openxmlformats.org/officeDocument/2006/relationships/hyperlink" Target="https://fbref.com/en/players/8e92be30/Alexander-Isak" TargetMode="External"/><Relationship Id="rId41" Type="http://schemas.openxmlformats.org/officeDocument/2006/relationships/hyperlink" Target="https://fbref.com/en/squads/d3fd31cc/2023-2024/Everton-Stats" TargetMode="External"/><Relationship Id="rId62" Type="http://schemas.openxmlformats.org/officeDocument/2006/relationships/hyperlink" Target="https://fbref.com/en/squads/cff3d9bb/2023-2024/Chelsea-Stats" TargetMode="External"/><Relationship Id="rId83" Type="http://schemas.openxmlformats.org/officeDocument/2006/relationships/hyperlink" Target="https://fbref.com/en/squads/47c64c55/2023-2024/Crystal-Palace-Stats" TargetMode="External"/><Relationship Id="rId88" Type="http://schemas.openxmlformats.org/officeDocument/2006/relationships/hyperlink" Target="https://fbref.com/en/squads/b8fd03ef/2023-2024/Manchester-City-Stats" TargetMode="External"/><Relationship Id="rId111" Type="http://schemas.openxmlformats.org/officeDocument/2006/relationships/hyperlink" Target="https://fbref.com/en/squads/e4a775cb/2023-2024/Nottingham-Forest-Stats" TargetMode="External"/><Relationship Id="rId132" Type="http://schemas.openxmlformats.org/officeDocument/2006/relationships/hyperlink" Target="https://fbref.com/en/squads/1df6b87e/2023-2024/Sheffield-United-Stats" TargetMode="External"/><Relationship Id="rId153" Type="http://schemas.openxmlformats.org/officeDocument/2006/relationships/hyperlink" Target="https://fbref.com/en/squads/361ca564/2023-2024/Tottenham-Hotspur-Stats" TargetMode="External"/><Relationship Id="rId15" Type="http://schemas.openxmlformats.org/officeDocument/2006/relationships/hyperlink" Target="https://fbref.com/en/players/77d6fd4d/Guglielmo-Vicario" TargetMode="External"/><Relationship Id="rId36" Type="http://schemas.openxmlformats.org/officeDocument/2006/relationships/hyperlink" Target="https://fbref.com/en/squads/fd962109/2023-2024/Fulham-Stats" TargetMode="External"/><Relationship Id="rId57" Type="http://schemas.openxmlformats.org/officeDocument/2006/relationships/hyperlink" Target="https://fbref.com/en/squads/8602292d/2023-2024/Aston-Villa-Stats" TargetMode="External"/><Relationship Id="rId106" Type="http://schemas.openxmlformats.org/officeDocument/2006/relationships/hyperlink" Target="https://fbref.com/en/squads/822bd0ba/2023-2024/Liverpool-Stats" TargetMode="External"/><Relationship Id="rId127" Type="http://schemas.openxmlformats.org/officeDocument/2006/relationships/hyperlink" Target="https://fbref.com/en/squads/e297cd13/2023-2024/Luton-Town-Stats" TargetMode="External"/><Relationship Id="rId10" Type="http://schemas.openxmlformats.org/officeDocument/2006/relationships/hyperlink" Target="https://fbref.com/en/squads/8602292d/2023-2024/Aston-Villa-Stats" TargetMode="External"/><Relationship Id="rId31" Type="http://schemas.openxmlformats.org/officeDocument/2006/relationships/hyperlink" Target="https://fbref.com/en/players/e8832875/Joao-Pedro" TargetMode="External"/><Relationship Id="rId52" Type="http://schemas.openxmlformats.org/officeDocument/2006/relationships/hyperlink" Target="https://fbref.com/en/squads/943e8050/2023-2024/Burnley-Stats" TargetMode="External"/><Relationship Id="rId73" Type="http://schemas.openxmlformats.org/officeDocument/2006/relationships/hyperlink" Target="https://fbref.com/en/squads/361ca564/2023-2024/Tottenham-Hotspur-Stats" TargetMode="External"/><Relationship Id="rId78" Type="http://schemas.openxmlformats.org/officeDocument/2006/relationships/hyperlink" Target="https://fbref.com/en/squads/4ba7cbea/2023-2024/Bournemouth-Stats" TargetMode="External"/><Relationship Id="rId94" Type="http://schemas.openxmlformats.org/officeDocument/2006/relationships/hyperlink" Target="https://fbref.com/en/squads/7c21e445/2023-2024/West-Ham-United-Stats" TargetMode="External"/><Relationship Id="rId99" Type="http://schemas.openxmlformats.org/officeDocument/2006/relationships/hyperlink" Target="https://fbref.com/en/squads/cd051869/2023-2024/Brentford-Stats" TargetMode="External"/><Relationship Id="rId101" Type="http://schemas.openxmlformats.org/officeDocument/2006/relationships/hyperlink" Target="https://fbref.com/en/squads/943e8050/2023-2024/Burnley-Stats" TargetMode="External"/><Relationship Id="rId122" Type="http://schemas.openxmlformats.org/officeDocument/2006/relationships/hyperlink" Target="https://fbref.com/en/squads/cff3d9bb/2023-2024/Chelsea-Stats" TargetMode="External"/><Relationship Id="rId143" Type="http://schemas.openxmlformats.org/officeDocument/2006/relationships/hyperlink" Target="https://fbref.com/en/squads/47c64c55/2023-2024/Crystal-Palace-Stats" TargetMode="External"/><Relationship Id="rId148" Type="http://schemas.openxmlformats.org/officeDocument/2006/relationships/hyperlink" Target="https://fbref.com/en/squads/b8fd03ef/2023-2024/Manchester-City-Stats" TargetMode="External"/><Relationship Id="rId4" Type="http://schemas.openxmlformats.org/officeDocument/2006/relationships/hyperlink" Target="https://fbref.com/en/squads/18bb7c10/2023-2024/Arsenal-Stats" TargetMode="External"/><Relationship Id="rId9" Type="http://schemas.openxmlformats.org/officeDocument/2006/relationships/hyperlink" Target="https://fbref.com/en/players/7a2e46a8/Alisson" TargetMode="External"/><Relationship Id="rId26" Type="http://schemas.openxmlformats.org/officeDocument/2006/relationships/hyperlink" Target="https://fbref.com/en/players/2f965a72/Alphonse-Areola" TargetMode="External"/><Relationship Id="rId47" Type="http://schemas.openxmlformats.org/officeDocument/2006/relationships/hyperlink" Target="https://fbref.com/en/players/4e9a0555/Chris-Wood" TargetMode="External"/><Relationship Id="rId68" Type="http://schemas.openxmlformats.org/officeDocument/2006/relationships/hyperlink" Target="https://fbref.com/en/squads/b8fd03ef/2023-2024/Manchester-City-Stats" TargetMode="External"/><Relationship Id="rId89" Type="http://schemas.openxmlformats.org/officeDocument/2006/relationships/hyperlink" Target="https://fbref.com/en/squads/19538871/2023-2024/Manchester-United-Stats" TargetMode="External"/><Relationship Id="rId112" Type="http://schemas.openxmlformats.org/officeDocument/2006/relationships/hyperlink" Target="https://fbref.com/en/squads/1df6b87e/2023-2024/Sheffield-United-Stats" TargetMode="External"/><Relationship Id="rId133" Type="http://schemas.openxmlformats.org/officeDocument/2006/relationships/hyperlink" Target="https://fbref.com/en/squads/361ca564/2023-2024/Tottenham-Hotspur-Stats" TargetMode="External"/><Relationship Id="rId154" Type="http://schemas.openxmlformats.org/officeDocument/2006/relationships/hyperlink" Target="https://fbref.com/en/squads/7c21e445/2023-2024/West-Ham-United-Stats" TargetMode="External"/><Relationship Id="rId16" Type="http://schemas.openxmlformats.org/officeDocument/2006/relationships/hyperlink" Target="https://fbref.com/en/squads/cff3d9bb/2023-2024/Chelsea-Stats" TargetMode="External"/><Relationship Id="rId37" Type="http://schemas.openxmlformats.org/officeDocument/2006/relationships/hyperlink" Target="https://fbref.com/en/players/a755db8c/Rodrigo-Muniz" TargetMode="External"/><Relationship Id="rId58" Type="http://schemas.openxmlformats.org/officeDocument/2006/relationships/hyperlink" Target="https://fbref.com/en/squads/4ba7cbea/2023-2024/Bournemouth-Stats" TargetMode="External"/><Relationship Id="rId79" Type="http://schemas.openxmlformats.org/officeDocument/2006/relationships/hyperlink" Target="https://fbref.com/en/squads/cd051869/2023-2024/Brentford-Stats" TargetMode="External"/><Relationship Id="rId102" Type="http://schemas.openxmlformats.org/officeDocument/2006/relationships/hyperlink" Target="https://fbref.com/en/squads/cff3d9bb/2023-2024/Chelsea-Stats" TargetMode="External"/><Relationship Id="rId123" Type="http://schemas.openxmlformats.org/officeDocument/2006/relationships/hyperlink" Target="https://fbref.com/en/squads/47c64c55/2023-2024/Crystal-Palace-Stats" TargetMode="External"/><Relationship Id="rId144" Type="http://schemas.openxmlformats.org/officeDocument/2006/relationships/hyperlink" Target="https://fbref.com/en/squads/d3fd31cc/2023-2024/Everton-Stats" TargetMode="External"/><Relationship Id="rId90" Type="http://schemas.openxmlformats.org/officeDocument/2006/relationships/hyperlink" Target="https://fbref.com/en/squads/b2b47a98/2023-2024/Newcastle-United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554A-76BB-42F0-A57B-3E30059640A1}">
  <dimension ref="B2:AT30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30" sqref="C30"/>
    </sheetView>
  </sheetViews>
  <sheetFormatPr baseColWidth="10" defaultColWidth="11.125" defaultRowHeight="15.75" x14ac:dyDescent="0.25"/>
  <cols>
    <col min="2" max="3" width="20.125" bestFit="1" customWidth="1"/>
    <col min="4" max="4" width="12" bestFit="1" customWidth="1"/>
    <col min="5" max="6" width="12" customWidth="1"/>
    <col min="7" max="7" width="15" bestFit="1" customWidth="1"/>
    <col min="8" max="8" width="16.375" bestFit="1" customWidth="1"/>
    <col min="9" max="9" width="12.875" bestFit="1" customWidth="1"/>
    <col min="10" max="10" width="28.625" bestFit="1" customWidth="1"/>
    <col min="11" max="11" width="31.125" customWidth="1"/>
    <col min="12" max="12" width="31.125" bestFit="1" customWidth="1"/>
    <col min="32" max="32" width="45.875" bestFit="1" customWidth="1"/>
    <col min="33" max="33" width="48.125" bestFit="1" customWidth="1"/>
    <col min="34" max="34" width="15.625" bestFit="1" customWidth="1"/>
    <col min="35" max="36" width="17.375" bestFit="1" customWidth="1"/>
    <col min="37" max="37" width="13.125" bestFit="1" customWidth="1"/>
    <col min="39" max="39" width="27" bestFit="1" customWidth="1"/>
  </cols>
  <sheetData>
    <row r="2" spans="2:46" x14ac:dyDescent="0.25">
      <c r="B2" t="s">
        <v>38</v>
      </c>
      <c r="D2" s="99" t="s">
        <v>79</v>
      </c>
      <c r="E2" s="99"/>
      <c r="F2" s="99"/>
      <c r="G2" s="99"/>
      <c r="H2" s="99"/>
      <c r="I2" s="99"/>
      <c r="J2" s="99"/>
      <c r="K2" s="99"/>
      <c r="L2" s="99"/>
      <c r="M2" s="100" t="s">
        <v>80</v>
      </c>
      <c r="N2" s="100"/>
      <c r="O2" s="100"/>
      <c r="P2" s="100"/>
      <c r="Q2" s="100"/>
      <c r="R2" s="100"/>
      <c r="S2" s="100"/>
      <c r="T2" s="100"/>
      <c r="U2" s="101" t="s">
        <v>81</v>
      </c>
      <c r="V2" s="101"/>
      <c r="W2" s="101"/>
      <c r="X2" s="101"/>
      <c r="Y2" s="101"/>
      <c r="Z2" s="101"/>
      <c r="AA2" s="102" t="s">
        <v>82</v>
      </c>
      <c r="AB2" s="102"/>
      <c r="AC2" s="102"/>
      <c r="AD2" s="102"/>
      <c r="AE2" s="102"/>
      <c r="AF2" s="103" t="s">
        <v>83</v>
      </c>
      <c r="AG2" s="103"/>
      <c r="AH2" s="103"/>
      <c r="AI2" s="103"/>
      <c r="AJ2" s="103"/>
      <c r="AK2" s="103"/>
      <c r="AL2" s="103"/>
      <c r="AM2" s="103"/>
      <c r="AN2" s="103"/>
      <c r="AO2" s="9"/>
      <c r="AP2" s="9"/>
      <c r="AQ2" s="9"/>
      <c r="AR2" s="9"/>
      <c r="AS2" s="9"/>
    </row>
    <row r="3" spans="2:46" x14ac:dyDescent="0.25">
      <c r="B3" t="s">
        <v>0</v>
      </c>
      <c r="C3" t="s">
        <v>24</v>
      </c>
      <c r="D3" t="s">
        <v>20</v>
      </c>
      <c r="E3" t="s">
        <v>42</v>
      </c>
      <c r="F3" t="s">
        <v>43</v>
      </c>
      <c r="G3" t="s">
        <v>21</v>
      </c>
      <c r="H3" t="s">
        <v>22</v>
      </c>
      <c r="I3" t="s">
        <v>23</v>
      </c>
      <c r="J3" t="s">
        <v>46</v>
      </c>
      <c r="K3" t="s">
        <v>47</v>
      </c>
      <c r="L3" t="s">
        <v>53</v>
      </c>
      <c r="M3" t="s">
        <v>55</v>
      </c>
      <c r="N3" t="s">
        <v>54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63</v>
      </c>
      <c r="U3" t="s">
        <v>61</v>
      </c>
      <c r="V3" t="s">
        <v>62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44</v>
      </c>
      <c r="AG3" t="s">
        <v>45</v>
      </c>
      <c r="AH3" t="s">
        <v>73</v>
      </c>
      <c r="AI3" t="s">
        <v>74</v>
      </c>
      <c r="AJ3" t="s">
        <v>51</v>
      </c>
      <c r="AK3" t="s">
        <v>75</v>
      </c>
      <c r="AL3" t="s">
        <v>89</v>
      </c>
      <c r="AM3" t="s">
        <v>77</v>
      </c>
      <c r="AN3" t="s">
        <v>78</v>
      </c>
      <c r="AO3" t="s">
        <v>101</v>
      </c>
      <c r="AP3" t="s">
        <v>102</v>
      </c>
      <c r="AQ3" t="s">
        <v>104</v>
      </c>
      <c r="AR3" t="s">
        <v>105</v>
      </c>
      <c r="AS3" t="s">
        <v>106</v>
      </c>
      <c r="AT3" t="s">
        <v>92</v>
      </c>
    </row>
    <row r="4" spans="2:46" x14ac:dyDescent="0.25">
      <c r="B4">
        <v>1</v>
      </c>
      <c r="C4" t="s">
        <v>7</v>
      </c>
      <c r="D4">
        <v>68</v>
      </c>
      <c r="E4">
        <v>36</v>
      </c>
      <c r="F4">
        <v>32</v>
      </c>
      <c r="G4">
        <v>15</v>
      </c>
      <c r="H4">
        <v>48</v>
      </c>
      <c r="I4">
        <v>3</v>
      </c>
      <c r="J4" t="s">
        <v>86</v>
      </c>
      <c r="K4" t="s">
        <v>86</v>
      </c>
      <c r="L4" t="s">
        <v>86</v>
      </c>
      <c r="M4">
        <v>522</v>
      </c>
      <c r="N4">
        <v>179</v>
      </c>
      <c r="O4">
        <v>10</v>
      </c>
      <c r="P4">
        <v>11</v>
      </c>
      <c r="Q4">
        <v>65</v>
      </c>
      <c r="R4">
        <v>3</v>
      </c>
      <c r="S4">
        <v>6</v>
      </c>
      <c r="T4">
        <v>50</v>
      </c>
      <c r="U4">
        <v>0</v>
      </c>
      <c r="V4">
        <v>4</v>
      </c>
      <c r="W4">
        <v>99</v>
      </c>
      <c r="X4">
        <v>1040</v>
      </c>
      <c r="Y4">
        <v>869</v>
      </c>
      <c r="Z4">
        <v>406</v>
      </c>
      <c r="AA4">
        <v>13370</v>
      </c>
      <c r="AB4">
        <v>54</v>
      </c>
      <c r="AC4">
        <v>1970</v>
      </c>
      <c r="AD4">
        <v>762</v>
      </c>
      <c r="AE4">
        <v>197</v>
      </c>
      <c r="AF4">
        <v>49.9</v>
      </c>
      <c r="AG4">
        <v>9.4499999999999993</v>
      </c>
      <c r="AH4">
        <v>25</v>
      </c>
      <c r="AI4">
        <v>32</v>
      </c>
      <c r="AJ4">
        <v>161.1</v>
      </c>
      <c r="AK4">
        <v>35</v>
      </c>
      <c r="AL4" s="4">
        <v>4.6028571428571423</v>
      </c>
      <c r="AM4" s="2">
        <v>31998</v>
      </c>
      <c r="AN4" s="5">
        <v>0</v>
      </c>
      <c r="AO4" s="13">
        <v>0</v>
      </c>
      <c r="AP4" s="13">
        <v>0</v>
      </c>
      <c r="AQ4" s="13">
        <v>1</v>
      </c>
      <c r="AR4" s="13">
        <v>0</v>
      </c>
      <c r="AS4" s="13">
        <v>0</v>
      </c>
      <c r="AT4" t="s">
        <v>94</v>
      </c>
    </row>
    <row r="5" spans="2:46" x14ac:dyDescent="0.25">
      <c r="B5">
        <v>2</v>
      </c>
      <c r="C5" t="s">
        <v>6</v>
      </c>
      <c r="D5">
        <v>65</v>
      </c>
      <c r="E5">
        <v>36</v>
      </c>
      <c r="F5">
        <v>29</v>
      </c>
      <c r="G5">
        <v>18</v>
      </c>
      <c r="H5">
        <v>40</v>
      </c>
      <c r="I5">
        <v>4</v>
      </c>
      <c r="J5" t="s">
        <v>86</v>
      </c>
      <c r="K5" t="s">
        <v>86</v>
      </c>
      <c r="L5" t="s">
        <v>86</v>
      </c>
      <c r="M5">
        <v>571</v>
      </c>
      <c r="N5">
        <v>211</v>
      </c>
      <c r="O5">
        <v>1</v>
      </c>
      <c r="P5">
        <v>13</v>
      </c>
      <c r="Q5">
        <v>61</v>
      </c>
      <c r="R5">
        <v>4</v>
      </c>
      <c r="S5">
        <v>3</v>
      </c>
      <c r="T5">
        <v>86</v>
      </c>
      <c r="U5">
        <v>3</v>
      </c>
      <c r="V5">
        <v>1</v>
      </c>
      <c r="W5">
        <v>118</v>
      </c>
      <c r="X5">
        <v>849</v>
      </c>
      <c r="Y5">
        <v>709</v>
      </c>
      <c r="Z5">
        <v>348</v>
      </c>
      <c r="AA5">
        <v>21249</v>
      </c>
      <c r="AB5">
        <v>168</v>
      </c>
      <c r="AC5">
        <v>2946</v>
      </c>
      <c r="AD5">
        <v>754</v>
      </c>
      <c r="AE5">
        <v>227</v>
      </c>
      <c r="AF5">
        <v>26.5</v>
      </c>
      <c r="AG5">
        <v>2.5</v>
      </c>
      <c r="AH5">
        <v>15</v>
      </c>
      <c r="AI5">
        <v>12</v>
      </c>
      <c r="AJ5">
        <v>457.85</v>
      </c>
      <c r="AK5">
        <v>41</v>
      </c>
      <c r="AL5" s="4">
        <v>11.167073170731708</v>
      </c>
      <c r="AM5" s="2">
        <v>59944</v>
      </c>
      <c r="AN5" s="5">
        <v>0.17</v>
      </c>
      <c r="AO5" s="13">
        <v>1</v>
      </c>
      <c r="AP5" s="13">
        <v>0</v>
      </c>
      <c r="AQ5" s="13">
        <v>1</v>
      </c>
      <c r="AR5" s="13">
        <v>0</v>
      </c>
      <c r="AS5" s="13">
        <v>1</v>
      </c>
      <c r="AT5" t="str">
        <f>AT4</f>
        <v>15/16</v>
      </c>
    </row>
    <row r="6" spans="2:46" x14ac:dyDescent="0.25">
      <c r="B6">
        <v>3</v>
      </c>
      <c r="C6" t="s">
        <v>3</v>
      </c>
      <c r="D6">
        <v>69</v>
      </c>
      <c r="E6">
        <v>35</v>
      </c>
      <c r="F6">
        <v>34</v>
      </c>
      <c r="G6">
        <v>13</v>
      </c>
      <c r="H6">
        <v>72</v>
      </c>
      <c r="I6">
        <v>1</v>
      </c>
      <c r="J6" t="s">
        <v>86</v>
      </c>
      <c r="K6" t="s">
        <v>86</v>
      </c>
      <c r="L6" t="s">
        <v>86</v>
      </c>
      <c r="M6">
        <v>659</v>
      </c>
      <c r="N6">
        <v>252</v>
      </c>
      <c r="O6">
        <v>5</v>
      </c>
      <c r="P6">
        <v>7</v>
      </c>
      <c r="Q6">
        <v>59</v>
      </c>
      <c r="R6">
        <v>10</v>
      </c>
      <c r="S6">
        <v>3</v>
      </c>
      <c r="T6">
        <v>72</v>
      </c>
      <c r="U6">
        <v>3</v>
      </c>
      <c r="V6">
        <v>2</v>
      </c>
      <c r="W6">
        <v>89</v>
      </c>
      <c r="X6">
        <v>1046</v>
      </c>
      <c r="Y6">
        <v>805</v>
      </c>
      <c r="Z6">
        <v>451</v>
      </c>
      <c r="AA6">
        <v>18649</v>
      </c>
      <c r="AB6">
        <v>64</v>
      </c>
      <c r="AC6">
        <v>2708</v>
      </c>
      <c r="AD6">
        <v>738</v>
      </c>
      <c r="AE6">
        <v>254</v>
      </c>
      <c r="AF6">
        <v>71</v>
      </c>
      <c r="AG6">
        <v>87.25</v>
      </c>
      <c r="AH6">
        <v>11</v>
      </c>
      <c r="AI6">
        <v>21</v>
      </c>
      <c r="AJ6">
        <v>371.85</v>
      </c>
      <c r="AK6">
        <v>31</v>
      </c>
      <c r="AL6" s="4">
        <v>11.995161290322581</v>
      </c>
      <c r="AM6" s="2">
        <v>35776</v>
      </c>
      <c r="AN6" s="5">
        <v>0.08</v>
      </c>
      <c r="AO6" s="13">
        <v>1</v>
      </c>
      <c r="AP6" s="13">
        <v>0</v>
      </c>
      <c r="AQ6" s="13">
        <v>1</v>
      </c>
      <c r="AR6" s="13">
        <v>0</v>
      </c>
      <c r="AS6" s="13">
        <v>1</v>
      </c>
      <c r="AT6" t="str">
        <f t="shared" ref="AT6:AT23" si="0">AT5</f>
        <v>15/16</v>
      </c>
    </row>
    <row r="7" spans="2:46" x14ac:dyDescent="0.25">
      <c r="B7">
        <v>4</v>
      </c>
      <c r="C7" t="s">
        <v>25</v>
      </c>
      <c r="D7">
        <v>71</v>
      </c>
      <c r="E7">
        <v>41</v>
      </c>
      <c r="F7">
        <v>30</v>
      </c>
      <c r="G7">
        <v>16</v>
      </c>
      <c r="H7">
        <v>61</v>
      </c>
      <c r="I7">
        <v>1</v>
      </c>
      <c r="J7" t="s">
        <v>86</v>
      </c>
      <c r="K7" t="s">
        <v>86</v>
      </c>
      <c r="L7" t="s">
        <v>86</v>
      </c>
      <c r="M7">
        <v>615</v>
      </c>
      <c r="N7">
        <v>210</v>
      </c>
      <c r="O7">
        <v>5</v>
      </c>
      <c r="P7">
        <v>13</v>
      </c>
      <c r="Q7">
        <v>57</v>
      </c>
      <c r="R7">
        <v>14</v>
      </c>
      <c r="S7">
        <v>5</v>
      </c>
      <c r="T7">
        <v>63</v>
      </c>
      <c r="U7">
        <v>1</v>
      </c>
      <c r="V7">
        <v>1</v>
      </c>
      <c r="W7">
        <v>86</v>
      </c>
      <c r="X7">
        <v>940</v>
      </c>
      <c r="Y7">
        <v>729</v>
      </c>
      <c r="Z7">
        <v>409</v>
      </c>
      <c r="AA7">
        <v>20488</v>
      </c>
      <c r="AB7">
        <v>84</v>
      </c>
      <c r="AC7">
        <v>2895</v>
      </c>
      <c r="AD7">
        <v>866</v>
      </c>
      <c r="AE7">
        <v>257</v>
      </c>
      <c r="AF7">
        <v>208.47</v>
      </c>
      <c r="AG7">
        <v>67.44</v>
      </c>
      <c r="AH7">
        <v>22</v>
      </c>
      <c r="AI7">
        <v>25</v>
      </c>
      <c r="AJ7">
        <v>499.35</v>
      </c>
      <c r="AK7">
        <v>38</v>
      </c>
      <c r="AL7" s="4">
        <v>13.140789473684212</v>
      </c>
      <c r="AM7" s="2">
        <v>54041</v>
      </c>
      <c r="AN7" s="5">
        <v>0.15</v>
      </c>
      <c r="AO7" s="13">
        <v>1</v>
      </c>
      <c r="AP7" s="13">
        <v>0</v>
      </c>
      <c r="AQ7" s="13">
        <v>1</v>
      </c>
      <c r="AR7" s="13">
        <v>0</v>
      </c>
      <c r="AS7" s="13">
        <v>1</v>
      </c>
      <c r="AT7" t="str">
        <f t="shared" si="0"/>
        <v>15/16</v>
      </c>
    </row>
    <row r="8" spans="2:46" x14ac:dyDescent="0.25">
      <c r="B8">
        <v>5</v>
      </c>
      <c r="C8" t="s">
        <v>4</v>
      </c>
      <c r="D8">
        <v>49</v>
      </c>
      <c r="E8">
        <v>35</v>
      </c>
      <c r="F8">
        <v>14</v>
      </c>
      <c r="G8">
        <v>18</v>
      </c>
      <c r="H8">
        <v>65</v>
      </c>
      <c r="I8">
        <v>1</v>
      </c>
      <c r="J8" t="s">
        <v>86</v>
      </c>
      <c r="K8" t="s">
        <v>86</v>
      </c>
      <c r="L8" t="s">
        <v>86</v>
      </c>
      <c r="M8">
        <v>430</v>
      </c>
      <c r="N8">
        <v>144</v>
      </c>
      <c r="O8">
        <v>3</v>
      </c>
      <c r="P8">
        <v>5</v>
      </c>
      <c r="Q8">
        <v>44</v>
      </c>
      <c r="R8">
        <v>5</v>
      </c>
      <c r="S8">
        <v>2</v>
      </c>
      <c r="T8">
        <v>75</v>
      </c>
      <c r="U8">
        <v>2</v>
      </c>
      <c r="V8">
        <v>2</v>
      </c>
      <c r="W8">
        <v>90</v>
      </c>
      <c r="X8">
        <v>755</v>
      </c>
      <c r="Y8">
        <v>760</v>
      </c>
      <c r="Z8">
        <v>473</v>
      </c>
      <c r="AA8">
        <v>20070</v>
      </c>
      <c r="AB8">
        <v>43</v>
      </c>
      <c r="AC8">
        <v>3221</v>
      </c>
      <c r="AD8">
        <v>786</v>
      </c>
      <c r="AE8">
        <v>228</v>
      </c>
      <c r="AF8">
        <v>156</v>
      </c>
      <c r="AG8">
        <v>100.67</v>
      </c>
      <c r="AH8">
        <v>22</v>
      </c>
      <c r="AI8">
        <v>20</v>
      </c>
      <c r="AJ8">
        <v>439.85</v>
      </c>
      <c r="AK8">
        <v>44</v>
      </c>
      <c r="AL8" s="4">
        <v>9.9965909090909104</v>
      </c>
      <c r="AM8" s="2">
        <v>75286</v>
      </c>
      <c r="AN8" s="5">
        <v>0.3</v>
      </c>
      <c r="AO8" s="13">
        <v>1</v>
      </c>
      <c r="AP8" s="13">
        <v>0</v>
      </c>
      <c r="AQ8" s="13">
        <v>0</v>
      </c>
      <c r="AR8" s="13">
        <v>0</v>
      </c>
      <c r="AS8" s="13">
        <v>1</v>
      </c>
      <c r="AT8" t="str">
        <f t="shared" si="0"/>
        <v>15/16</v>
      </c>
    </row>
    <row r="9" spans="2:46" x14ac:dyDescent="0.25">
      <c r="B9">
        <v>6</v>
      </c>
      <c r="C9" t="s">
        <v>11</v>
      </c>
      <c r="D9">
        <v>59</v>
      </c>
      <c r="E9">
        <v>41</v>
      </c>
      <c r="F9">
        <v>18</v>
      </c>
      <c r="G9">
        <v>12</v>
      </c>
      <c r="H9">
        <v>57</v>
      </c>
      <c r="I9">
        <v>6</v>
      </c>
      <c r="J9" t="s">
        <v>86</v>
      </c>
      <c r="K9" t="s">
        <v>86</v>
      </c>
      <c r="L9" t="s">
        <v>86</v>
      </c>
      <c r="M9">
        <v>519</v>
      </c>
      <c r="N9">
        <v>166</v>
      </c>
      <c r="O9">
        <v>3</v>
      </c>
      <c r="P9">
        <v>15</v>
      </c>
      <c r="Q9">
        <v>53</v>
      </c>
      <c r="R9">
        <v>6</v>
      </c>
      <c r="S9">
        <v>3</v>
      </c>
      <c r="T9">
        <v>98</v>
      </c>
      <c r="U9">
        <v>0</v>
      </c>
      <c r="V9">
        <v>1</v>
      </c>
      <c r="W9">
        <v>94</v>
      </c>
      <c r="X9">
        <v>1101</v>
      </c>
      <c r="Y9">
        <v>714</v>
      </c>
      <c r="Z9">
        <v>417</v>
      </c>
      <c r="AA9">
        <v>15913</v>
      </c>
      <c r="AB9">
        <v>46</v>
      </c>
      <c r="AC9">
        <v>2358</v>
      </c>
      <c r="AD9">
        <v>956</v>
      </c>
      <c r="AE9">
        <v>220</v>
      </c>
      <c r="AF9">
        <v>60.1</v>
      </c>
      <c r="AG9">
        <v>52.7</v>
      </c>
      <c r="AH9">
        <v>16</v>
      </c>
      <c r="AI9">
        <v>17</v>
      </c>
      <c r="AJ9">
        <v>225.5</v>
      </c>
      <c r="AK9">
        <v>35</v>
      </c>
      <c r="AL9" s="4">
        <v>6.4428571428571431</v>
      </c>
      <c r="AM9" s="2">
        <v>30751</v>
      </c>
      <c r="AN9" s="5">
        <v>0.13</v>
      </c>
      <c r="AO9" s="13">
        <v>1</v>
      </c>
      <c r="AP9" s="13">
        <v>0</v>
      </c>
      <c r="AQ9" s="13">
        <v>0</v>
      </c>
      <c r="AR9" s="13">
        <v>0</v>
      </c>
      <c r="AS9" s="13">
        <v>0</v>
      </c>
      <c r="AT9" t="str">
        <f t="shared" si="0"/>
        <v>15/16</v>
      </c>
    </row>
    <row r="10" spans="2:46" x14ac:dyDescent="0.25">
      <c r="B10">
        <v>7</v>
      </c>
      <c r="C10" t="s">
        <v>5</v>
      </c>
      <c r="D10">
        <v>65</v>
      </c>
      <c r="E10">
        <v>51</v>
      </c>
      <c r="F10">
        <v>14</v>
      </c>
      <c r="G10">
        <v>11</v>
      </c>
      <c r="H10">
        <v>58</v>
      </c>
      <c r="I10">
        <v>5</v>
      </c>
      <c r="J10" t="s">
        <v>86</v>
      </c>
      <c r="K10" t="s">
        <v>86</v>
      </c>
      <c r="L10" t="s">
        <v>86</v>
      </c>
      <c r="M10">
        <v>558</v>
      </c>
      <c r="N10">
        <v>185</v>
      </c>
      <c r="O10">
        <v>4</v>
      </c>
      <c r="P10">
        <v>15</v>
      </c>
      <c r="Q10">
        <v>55</v>
      </c>
      <c r="R10">
        <v>10</v>
      </c>
      <c r="S10">
        <v>2</v>
      </c>
      <c r="T10">
        <v>82</v>
      </c>
      <c r="U10">
        <v>2</v>
      </c>
      <c r="V10">
        <v>8</v>
      </c>
      <c r="W10">
        <v>111</v>
      </c>
      <c r="X10">
        <v>1003</v>
      </c>
      <c r="Y10">
        <v>711</v>
      </c>
      <c r="Z10">
        <v>381</v>
      </c>
      <c r="AA10">
        <v>15031</v>
      </c>
      <c r="AB10">
        <v>32</v>
      </c>
      <c r="AC10">
        <v>2236</v>
      </c>
      <c r="AD10">
        <v>805</v>
      </c>
      <c r="AE10">
        <v>224</v>
      </c>
      <c r="AF10">
        <v>52.7</v>
      </c>
      <c r="AG10">
        <v>18.52</v>
      </c>
      <c r="AH10">
        <v>25</v>
      </c>
      <c r="AI10">
        <v>26</v>
      </c>
      <c r="AJ10">
        <v>201.33</v>
      </c>
      <c r="AK10">
        <v>50</v>
      </c>
      <c r="AL10" s="4">
        <v>4.0266000000000002</v>
      </c>
      <c r="AM10" s="2">
        <v>34910</v>
      </c>
      <c r="AN10" s="5">
        <v>0.02</v>
      </c>
      <c r="AO10" s="13">
        <v>1</v>
      </c>
      <c r="AP10" s="13">
        <v>0</v>
      </c>
      <c r="AQ10" s="13">
        <v>0</v>
      </c>
      <c r="AR10" s="13">
        <v>0</v>
      </c>
      <c r="AS10" s="13">
        <v>0</v>
      </c>
      <c r="AT10" t="str">
        <f t="shared" si="0"/>
        <v>15/16</v>
      </c>
    </row>
    <row r="11" spans="2:46" x14ac:dyDescent="0.25">
      <c r="B11">
        <v>8</v>
      </c>
      <c r="C11" t="s">
        <v>1</v>
      </c>
      <c r="D11">
        <v>63</v>
      </c>
      <c r="E11">
        <v>50</v>
      </c>
      <c r="F11">
        <v>13</v>
      </c>
      <c r="G11">
        <v>11</v>
      </c>
      <c r="H11">
        <v>61</v>
      </c>
      <c r="I11">
        <v>3</v>
      </c>
      <c r="J11" t="s">
        <v>86</v>
      </c>
      <c r="K11" t="s">
        <v>86</v>
      </c>
      <c r="L11" t="s">
        <v>86</v>
      </c>
      <c r="M11">
        <v>629</v>
      </c>
      <c r="N11">
        <v>202</v>
      </c>
      <c r="O11">
        <v>2</v>
      </c>
      <c r="P11">
        <v>12</v>
      </c>
      <c r="Q11">
        <v>48</v>
      </c>
      <c r="R11">
        <v>15</v>
      </c>
      <c r="S11">
        <v>1</v>
      </c>
      <c r="T11">
        <v>91</v>
      </c>
      <c r="U11">
        <v>1</v>
      </c>
      <c r="V11">
        <v>3</v>
      </c>
      <c r="W11">
        <v>81</v>
      </c>
      <c r="X11">
        <v>871</v>
      </c>
      <c r="Y11">
        <v>871</v>
      </c>
      <c r="Z11">
        <v>410</v>
      </c>
      <c r="AA11">
        <v>19733</v>
      </c>
      <c r="AB11">
        <v>75</v>
      </c>
      <c r="AC11">
        <v>2846</v>
      </c>
      <c r="AD11">
        <v>780</v>
      </c>
      <c r="AE11">
        <v>265</v>
      </c>
      <c r="AF11">
        <v>126.5</v>
      </c>
      <c r="AG11">
        <v>90.55</v>
      </c>
      <c r="AH11">
        <v>24</v>
      </c>
      <c r="AI11">
        <v>24</v>
      </c>
      <c r="AJ11">
        <v>375.25</v>
      </c>
      <c r="AK11">
        <v>44</v>
      </c>
      <c r="AL11" s="4">
        <v>8.5284090909090917</v>
      </c>
      <c r="AM11" s="2">
        <v>43910</v>
      </c>
      <c r="AN11" s="5">
        <v>0.09</v>
      </c>
      <c r="AO11" s="13">
        <v>1</v>
      </c>
      <c r="AP11" s="13">
        <v>0</v>
      </c>
      <c r="AQ11" s="13">
        <v>0</v>
      </c>
      <c r="AR11" s="13">
        <v>0</v>
      </c>
      <c r="AS11" s="13">
        <v>1</v>
      </c>
      <c r="AT11" t="str">
        <f t="shared" si="0"/>
        <v>15/16</v>
      </c>
    </row>
    <row r="12" spans="2:46" x14ac:dyDescent="0.25">
      <c r="B12">
        <v>9</v>
      </c>
      <c r="C12" t="s">
        <v>37</v>
      </c>
      <c r="D12">
        <v>41</v>
      </c>
      <c r="E12">
        <v>55</v>
      </c>
      <c r="F12">
        <v>-14</v>
      </c>
      <c r="G12">
        <v>10</v>
      </c>
      <c r="H12">
        <v>51</v>
      </c>
      <c r="I12">
        <v>4</v>
      </c>
      <c r="J12" t="s">
        <v>86</v>
      </c>
      <c r="K12" t="s">
        <v>86</v>
      </c>
      <c r="L12" t="s">
        <v>86</v>
      </c>
      <c r="M12">
        <v>419</v>
      </c>
      <c r="N12">
        <v>128</v>
      </c>
      <c r="O12">
        <v>5</v>
      </c>
      <c r="P12">
        <v>9</v>
      </c>
      <c r="Q12">
        <v>33</v>
      </c>
      <c r="R12">
        <v>8</v>
      </c>
      <c r="S12">
        <v>0</v>
      </c>
      <c r="T12">
        <v>103</v>
      </c>
      <c r="U12">
        <v>0</v>
      </c>
      <c r="V12">
        <v>5</v>
      </c>
      <c r="W12">
        <v>121</v>
      </c>
      <c r="X12">
        <v>826</v>
      </c>
      <c r="Y12">
        <v>710</v>
      </c>
      <c r="Z12">
        <v>420</v>
      </c>
      <c r="AA12">
        <v>16342</v>
      </c>
      <c r="AB12">
        <v>60</v>
      </c>
      <c r="AC12">
        <v>2440</v>
      </c>
      <c r="AD12">
        <v>683</v>
      </c>
      <c r="AE12">
        <v>153</v>
      </c>
      <c r="AF12">
        <v>53.65</v>
      </c>
      <c r="AG12">
        <v>23.2</v>
      </c>
      <c r="AH12">
        <v>13</v>
      </c>
      <c r="AI12">
        <v>14</v>
      </c>
      <c r="AJ12">
        <v>147</v>
      </c>
      <c r="AK12">
        <v>31</v>
      </c>
      <c r="AL12" s="4">
        <v>4.741935483870968</v>
      </c>
      <c r="AM12" s="2">
        <v>27534</v>
      </c>
      <c r="AN12" s="5">
        <v>0.1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t="str">
        <f t="shared" si="0"/>
        <v>15/16</v>
      </c>
    </row>
    <row r="13" spans="2:46" x14ac:dyDescent="0.25">
      <c r="B13">
        <v>10</v>
      </c>
      <c r="C13" t="s">
        <v>2</v>
      </c>
      <c r="D13">
        <v>59</v>
      </c>
      <c r="E13">
        <v>53</v>
      </c>
      <c r="F13">
        <v>6</v>
      </c>
      <c r="G13">
        <v>9</v>
      </c>
      <c r="H13">
        <v>58</v>
      </c>
      <c r="I13">
        <v>5</v>
      </c>
      <c r="J13" t="s">
        <v>86</v>
      </c>
      <c r="K13" t="s">
        <v>86</v>
      </c>
      <c r="L13" t="s">
        <v>86</v>
      </c>
      <c r="M13">
        <v>526</v>
      </c>
      <c r="N13">
        <v>173</v>
      </c>
      <c r="O13">
        <v>4</v>
      </c>
      <c r="P13">
        <v>6</v>
      </c>
      <c r="Q13">
        <v>48</v>
      </c>
      <c r="R13">
        <v>11</v>
      </c>
      <c r="S13">
        <v>1</v>
      </c>
      <c r="T13">
        <v>90</v>
      </c>
      <c r="U13">
        <v>2</v>
      </c>
      <c r="V13">
        <v>4</v>
      </c>
      <c r="W13">
        <v>122</v>
      </c>
      <c r="X13">
        <v>790</v>
      </c>
      <c r="Y13">
        <v>790</v>
      </c>
      <c r="Z13">
        <v>401</v>
      </c>
      <c r="AA13">
        <v>19664</v>
      </c>
      <c r="AB13">
        <v>74</v>
      </c>
      <c r="AC13">
        <v>2933</v>
      </c>
      <c r="AD13">
        <v>732</v>
      </c>
      <c r="AE13">
        <v>240</v>
      </c>
      <c r="AF13">
        <v>96.5</v>
      </c>
      <c r="AG13">
        <v>87.49</v>
      </c>
      <c r="AH13">
        <v>39</v>
      </c>
      <c r="AI13">
        <v>37</v>
      </c>
      <c r="AJ13">
        <v>553.5</v>
      </c>
      <c r="AK13">
        <v>40</v>
      </c>
      <c r="AL13" s="4">
        <v>13.8375</v>
      </c>
      <c r="AM13" s="2">
        <v>41500</v>
      </c>
      <c r="AN13" s="5">
        <v>-0.03</v>
      </c>
      <c r="AO13" s="13">
        <v>1</v>
      </c>
      <c r="AP13" s="13">
        <v>0</v>
      </c>
      <c r="AQ13" s="13">
        <v>0</v>
      </c>
      <c r="AR13" s="13">
        <v>0</v>
      </c>
      <c r="AS13" s="13">
        <v>1</v>
      </c>
      <c r="AT13" t="str">
        <f t="shared" si="0"/>
        <v>15/16</v>
      </c>
    </row>
    <row r="14" spans="2:46" x14ac:dyDescent="0.25">
      <c r="B14">
        <v>11</v>
      </c>
      <c r="C14" t="s">
        <v>15</v>
      </c>
      <c r="D14">
        <v>59</v>
      </c>
      <c r="E14">
        <v>55</v>
      </c>
      <c r="F14">
        <v>4</v>
      </c>
      <c r="G14">
        <v>10</v>
      </c>
      <c r="H14">
        <v>44</v>
      </c>
      <c r="I14">
        <v>5</v>
      </c>
      <c r="J14" t="s">
        <v>86</v>
      </c>
      <c r="K14" t="s">
        <v>86</v>
      </c>
      <c r="L14" t="s">
        <v>86</v>
      </c>
      <c r="M14">
        <v>491</v>
      </c>
      <c r="N14">
        <v>175</v>
      </c>
      <c r="O14">
        <v>4</v>
      </c>
      <c r="P14">
        <v>10</v>
      </c>
      <c r="Q14">
        <v>53</v>
      </c>
      <c r="R14">
        <v>6</v>
      </c>
      <c r="S14">
        <v>2</v>
      </c>
      <c r="T14">
        <v>55</v>
      </c>
      <c r="U14">
        <v>1</v>
      </c>
      <c r="V14">
        <v>6</v>
      </c>
      <c r="W14">
        <v>127</v>
      </c>
      <c r="X14">
        <v>994</v>
      </c>
      <c r="Y14">
        <v>730</v>
      </c>
      <c r="Z14">
        <v>306</v>
      </c>
      <c r="AA14">
        <v>17947</v>
      </c>
      <c r="AB14">
        <v>57</v>
      </c>
      <c r="AC14">
        <v>2699</v>
      </c>
      <c r="AD14">
        <v>782</v>
      </c>
      <c r="AE14">
        <v>218</v>
      </c>
      <c r="AF14">
        <v>48.2</v>
      </c>
      <c r="AG14">
        <v>11</v>
      </c>
      <c r="AH14">
        <v>18</v>
      </c>
      <c r="AI14">
        <v>17</v>
      </c>
      <c r="AJ14">
        <v>249.85</v>
      </c>
      <c r="AK14">
        <v>39</v>
      </c>
      <c r="AL14" s="4">
        <v>6.4064102564102559</v>
      </c>
      <c r="AM14" s="2">
        <v>38124</v>
      </c>
      <c r="AN14" s="5">
        <v>0.05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t="str">
        <f t="shared" si="0"/>
        <v>15/16</v>
      </c>
    </row>
    <row r="15" spans="2:46" x14ac:dyDescent="0.25">
      <c r="B15">
        <v>12</v>
      </c>
      <c r="C15" t="s">
        <v>36</v>
      </c>
      <c r="D15">
        <v>42</v>
      </c>
      <c r="E15">
        <v>52</v>
      </c>
      <c r="F15">
        <v>-10</v>
      </c>
      <c r="G15">
        <v>9</v>
      </c>
      <c r="H15">
        <v>60</v>
      </c>
      <c r="I15">
        <v>1</v>
      </c>
      <c r="J15" t="s">
        <v>86</v>
      </c>
      <c r="K15" t="s">
        <v>86</v>
      </c>
      <c r="L15" t="s">
        <v>86</v>
      </c>
      <c r="M15">
        <v>441</v>
      </c>
      <c r="N15">
        <v>136</v>
      </c>
      <c r="O15">
        <v>5</v>
      </c>
      <c r="P15">
        <v>6</v>
      </c>
      <c r="Q15">
        <v>35</v>
      </c>
      <c r="R15">
        <v>7</v>
      </c>
      <c r="S15">
        <v>3</v>
      </c>
      <c r="T15">
        <v>82</v>
      </c>
      <c r="U15">
        <v>5</v>
      </c>
      <c r="V15">
        <v>2</v>
      </c>
      <c r="W15">
        <v>119</v>
      </c>
      <c r="X15">
        <v>1058</v>
      </c>
      <c r="Y15">
        <v>638</v>
      </c>
      <c r="Z15">
        <v>392</v>
      </c>
      <c r="AA15">
        <v>18169</v>
      </c>
      <c r="AB15">
        <v>46</v>
      </c>
      <c r="AC15">
        <v>2796</v>
      </c>
      <c r="AD15">
        <v>725</v>
      </c>
      <c r="AE15">
        <v>163</v>
      </c>
      <c r="AF15">
        <v>21.81</v>
      </c>
      <c r="AG15">
        <v>16.809999999999999</v>
      </c>
      <c r="AH15">
        <v>20</v>
      </c>
      <c r="AI15">
        <v>24</v>
      </c>
      <c r="AJ15">
        <v>145.80000000000001</v>
      </c>
      <c r="AK15">
        <v>36</v>
      </c>
      <c r="AL15" s="4">
        <v>4.0500000000000007</v>
      </c>
      <c r="AM15" s="2">
        <v>20711</v>
      </c>
      <c r="AN15" s="5">
        <v>0.09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t="str">
        <f t="shared" si="0"/>
        <v>15/16</v>
      </c>
    </row>
    <row r="16" spans="2:46" x14ac:dyDescent="0.25">
      <c r="B16">
        <v>13</v>
      </c>
      <c r="C16" t="s">
        <v>18</v>
      </c>
      <c r="D16">
        <v>40</v>
      </c>
      <c r="E16">
        <v>50</v>
      </c>
      <c r="F16">
        <v>-10</v>
      </c>
      <c r="G16">
        <v>11</v>
      </c>
      <c r="H16">
        <v>73</v>
      </c>
      <c r="I16">
        <v>3</v>
      </c>
      <c r="J16" t="s">
        <v>86</v>
      </c>
      <c r="K16" t="s">
        <v>86</v>
      </c>
      <c r="L16" t="s">
        <v>86</v>
      </c>
      <c r="M16">
        <v>446</v>
      </c>
      <c r="N16">
        <v>140</v>
      </c>
      <c r="O16">
        <v>6</v>
      </c>
      <c r="P16">
        <v>5</v>
      </c>
      <c r="Q16">
        <v>37</v>
      </c>
      <c r="R16">
        <v>3</v>
      </c>
      <c r="S16">
        <v>0</v>
      </c>
      <c r="T16">
        <v>50</v>
      </c>
      <c r="U16">
        <v>2</v>
      </c>
      <c r="V16">
        <v>8</v>
      </c>
      <c r="W16">
        <v>121</v>
      </c>
      <c r="X16">
        <v>931</v>
      </c>
      <c r="Y16">
        <v>794</v>
      </c>
      <c r="Z16">
        <v>455</v>
      </c>
      <c r="AA16">
        <v>14531</v>
      </c>
      <c r="AB16">
        <v>29</v>
      </c>
      <c r="AC16">
        <v>2164</v>
      </c>
      <c r="AD16">
        <v>703</v>
      </c>
      <c r="AE16">
        <v>164</v>
      </c>
      <c r="AF16">
        <v>82.8</v>
      </c>
      <c r="AG16">
        <v>9.75</v>
      </c>
      <c r="AH16">
        <v>33</v>
      </c>
      <c r="AI16">
        <v>30</v>
      </c>
      <c r="AJ16">
        <v>137</v>
      </c>
      <c r="AK16">
        <v>39</v>
      </c>
      <c r="AL16" s="4">
        <v>3.5128205128205128</v>
      </c>
      <c r="AM16" s="2">
        <v>20594</v>
      </c>
      <c r="AN16" s="5">
        <v>0.12</v>
      </c>
      <c r="AO16" s="13">
        <v>0</v>
      </c>
      <c r="AP16" s="13">
        <v>1</v>
      </c>
      <c r="AQ16" s="13">
        <v>0</v>
      </c>
      <c r="AR16" s="13">
        <v>0</v>
      </c>
      <c r="AS16" s="13">
        <v>0</v>
      </c>
      <c r="AT16" t="str">
        <f t="shared" si="0"/>
        <v>15/16</v>
      </c>
    </row>
    <row r="17" spans="2:46" x14ac:dyDescent="0.25">
      <c r="B17">
        <v>14</v>
      </c>
      <c r="C17" t="s">
        <v>28</v>
      </c>
      <c r="D17">
        <v>34</v>
      </c>
      <c r="E17">
        <v>48</v>
      </c>
      <c r="F17">
        <v>-14</v>
      </c>
      <c r="G17">
        <v>11</v>
      </c>
      <c r="H17">
        <v>65</v>
      </c>
      <c r="I17">
        <v>3</v>
      </c>
      <c r="J17" t="s">
        <v>86</v>
      </c>
      <c r="K17" t="s">
        <v>86</v>
      </c>
      <c r="L17" t="s">
        <v>86</v>
      </c>
      <c r="M17">
        <v>388</v>
      </c>
      <c r="N17">
        <v>107</v>
      </c>
      <c r="O17">
        <v>1</v>
      </c>
      <c r="P17">
        <v>12</v>
      </c>
      <c r="Q17">
        <v>31</v>
      </c>
      <c r="R17">
        <v>3</v>
      </c>
      <c r="S17">
        <v>0</v>
      </c>
      <c r="T17">
        <v>68</v>
      </c>
      <c r="U17">
        <v>3</v>
      </c>
      <c r="V17">
        <v>6</v>
      </c>
      <c r="W17">
        <v>109</v>
      </c>
      <c r="X17">
        <v>992</v>
      </c>
      <c r="Y17">
        <v>642</v>
      </c>
      <c r="Z17">
        <v>400</v>
      </c>
      <c r="AA17">
        <v>12799</v>
      </c>
      <c r="AB17">
        <v>29</v>
      </c>
      <c r="AC17">
        <v>1638</v>
      </c>
      <c r="AD17">
        <v>847</v>
      </c>
      <c r="AE17">
        <v>188</v>
      </c>
      <c r="AF17">
        <v>42.9</v>
      </c>
      <c r="AG17">
        <v>12.92</v>
      </c>
      <c r="AH17">
        <v>12</v>
      </c>
      <c r="AI17">
        <v>13</v>
      </c>
      <c r="AJ17">
        <v>113.1</v>
      </c>
      <c r="AK17">
        <v>35</v>
      </c>
      <c r="AL17" s="4">
        <v>3.2314285714285713</v>
      </c>
      <c r="AM17" s="2">
        <v>24631</v>
      </c>
      <c r="AN17" s="5">
        <v>0.05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t="str">
        <f t="shared" si="0"/>
        <v>15/16</v>
      </c>
    </row>
    <row r="18" spans="2:46" x14ac:dyDescent="0.25">
      <c r="B18">
        <v>15</v>
      </c>
      <c r="C18" t="s">
        <v>9</v>
      </c>
      <c r="D18">
        <v>39</v>
      </c>
      <c r="E18">
        <v>51</v>
      </c>
      <c r="F18">
        <v>-12</v>
      </c>
      <c r="G18">
        <v>8</v>
      </c>
      <c r="H18">
        <v>60</v>
      </c>
      <c r="I18">
        <v>2</v>
      </c>
      <c r="J18" t="s">
        <v>86</v>
      </c>
      <c r="K18" t="s">
        <v>86</v>
      </c>
      <c r="L18" t="s">
        <v>86</v>
      </c>
      <c r="M18">
        <v>469</v>
      </c>
      <c r="N18">
        <v>153</v>
      </c>
      <c r="O18">
        <v>4</v>
      </c>
      <c r="P18">
        <v>7</v>
      </c>
      <c r="Q18">
        <v>33</v>
      </c>
      <c r="R18">
        <v>6</v>
      </c>
      <c r="S18">
        <v>0</v>
      </c>
      <c r="T18">
        <v>81</v>
      </c>
      <c r="U18">
        <v>4</v>
      </c>
      <c r="V18">
        <v>4</v>
      </c>
      <c r="W18">
        <v>122</v>
      </c>
      <c r="X18">
        <v>963</v>
      </c>
      <c r="Y18">
        <v>649</v>
      </c>
      <c r="Z18">
        <v>465</v>
      </c>
      <c r="AA18">
        <v>13785</v>
      </c>
      <c r="AB18">
        <v>16</v>
      </c>
      <c r="AC18">
        <v>2185</v>
      </c>
      <c r="AD18">
        <v>969</v>
      </c>
      <c r="AE18">
        <v>219</v>
      </c>
      <c r="AF18">
        <v>28.8</v>
      </c>
      <c r="AG18">
        <v>5.4</v>
      </c>
      <c r="AH18">
        <v>19</v>
      </c>
      <c r="AI18">
        <v>23</v>
      </c>
      <c r="AJ18">
        <v>135.69999999999999</v>
      </c>
      <c r="AK18">
        <v>38</v>
      </c>
      <c r="AL18" s="4">
        <v>3.5710526315789473</v>
      </c>
      <c r="AM18" s="2">
        <v>24825</v>
      </c>
      <c r="AN18" s="5">
        <v>0.04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t="str">
        <f t="shared" si="0"/>
        <v>15/16</v>
      </c>
    </row>
    <row r="19" spans="2:46" x14ac:dyDescent="0.25">
      <c r="B19">
        <v>16</v>
      </c>
      <c r="C19" t="s">
        <v>31</v>
      </c>
      <c r="D19">
        <v>45</v>
      </c>
      <c r="E19">
        <v>67</v>
      </c>
      <c r="F19">
        <v>-22</v>
      </c>
      <c r="G19">
        <v>7</v>
      </c>
      <c r="H19">
        <v>53</v>
      </c>
      <c r="I19">
        <v>1</v>
      </c>
      <c r="J19" t="s">
        <v>86</v>
      </c>
      <c r="K19" t="s">
        <v>86</v>
      </c>
      <c r="L19" t="s">
        <v>86</v>
      </c>
      <c r="M19">
        <v>464</v>
      </c>
      <c r="N19">
        <v>143</v>
      </c>
      <c r="O19">
        <v>3</v>
      </c>
      <c r="P19">
        <v>11</v>
      </c>
      <c r="Q19">
        <v>39</v>
      </c>
      <c r="R19">
        <v>6</v>
      </c>
      <c r="S19">
        <v>0</v>
      </c>
      <c r="T19">
        <v>66</v>
      </c>
      <c r="U19">
        <v>0</v>
      </c>
      <c r="V19">
        <v>6</v>
      </c>
      <c r="W19">
        <v>90</v>
      </c>
      <c r="X19">
        <v>951</v>
      </c>
      <c r="Y19">
        <v>709</v>
      </c>
      <c r="Z19">
        <v>361</v>
      </c>
      <c r="AA19">
        <v>17270</v>
      </c>
      <c r="AB19">
        <v>33</v>
      </c>
      <c r="AC19">
        <v>2451</v>
      </c>
      <c r="AD19">
        <v>749</v>
      </c>
      <c r="AE19">
        <v>221</v>
      </c>
      <c r="AF19">
        <v>55.11</v>
      </c>
      <c r="AG19">
        <v>0.65</v>
      </c>
      <c r="AH19">
        <v>36</v>
      </c>
      <c r="AI19">
        <v>33</v>
      </c>
      <c r="AJ19">
        <v>99.9</v>
      </c>
      <c r="AK19">
        <v>49</v>
      </c>
      <c r="AL19" s="4">
        <v>2.0387755102040819</v>
      </c>
      <c r="AM19" s="2">
        <v>11189</v>
      </c>
      <c r="AN19" s="5">
        <v>0.01</v>
      </c>
      <c r="AO19" s="13">
        <v>0</v>
      </c>
      <c r="AP19" s="13">
        <v>1</v>
      </c>
      <c r="AQ19" s="13">
        <v>0</v>
      </c>
      <c r="AR19" s="13">
        <v>0</v>
      </c>
      <c r="AS19" s="13">
        <v>0</v>
      </c>
      <c r="AT19" t="str">
        <f t="shared" si="0"/>
        <v>15/16</v>
      </c>
    </row>
    <row r="20" spans="2:46" x14ac:dyDescent="0.25">
      <c r="B20">
        <v>17</v>
      </c>
      <c r="C20" t="s">
        <v>41</v>
      </c>
      <c r="D20">
        <v>48</v>
      </c>
      <c r="E20">
        <v>62</v>
      </c>
      <c r="F20">
        <v>-14</v>
      </c>
      <c r="G20">
        <v>7</v>
      </c>
      <c r="H20">
        <v>64</v>
      </c>
      <c r="I20">
        <v>2</v>
      </c>
      <c r="J20" t="s">
        <v>86</v>
      </c>
      <c r="K20" t="s">
        <v>86</v>
      </c>
      <c r="L20" t="s">
        <v>86</v>
      </c>
      <c r="M20">
        <v>439</v>
      </c>
      <c r="N20">
        <v>141</v>
      </c>
      <c r="O20">
        <v>3</v>
      </c>
      <c r="P20">
        <v>2</v>
      </c>
      <c r="Q20">
        <v>40</v>
      </c>
      <c r="R20">
        <v>8</v>
      </c>
      <c r="S20">
        <v>2</v>
      </c>
      <c r="T20">
        <v>88</v>
      </c>
      <c r="U20">
        <v>1</v>
      </c>
      <c r="V20">
        <v>8</v>
      </c>
      <c r="W20">
        <v>156</v>
      </c>
      <c r="X20">
        <v>1277</v>
      </c>
      <c r="Y20">
        <v>767</v>
      </c>
      <c r="Z20">
        <v>484</v>
      </c>
      <c r="AA20">
        <v>12799</v>
      </c>
      <c r="AB20">
        <v>57</v>
      </c>
      <c r="AC20">
        <v>1841</v>
      </c>
      <c r="AD20">
        <v>589</v>
      </c>
      <c r="AE20">
        <v>153</v>
      </c>
      <c r="AF20">
        <v>66.05</v>
      </c>
      <c r="AG20">
        <v>52.7</v>
      </c>
      <c r="AH20">
        <v>29</v>
      </c>
      <c r="AI20">
        <v>25</v>
      </c>
      <c r="AJ20">
        <v>111.25</v>
      </c>
      <c r="AK20">
        <v>42</v>
      </c>
      <c r="AL20" s="4">
        <v>2.6488095238095237</v>
      </c>
      <c r="AM20" s="2">
        <v>43071</v>
      </c>
      <c r="AN20" s="5">
        <v>0.16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t="str">
        <f t="shared" si="0"/>
        <v>15/16</v>
      </c>
    </row>
    <row r="21" spans="2:46" x14ac:dyDescent="0.25">
      <c r="B21">
        <v>18</v>
      </c>
      <c r="C21" t="s">
        <v>12</v>
      </c>
      <c r="D21">
        <v>44</v>
      </c>
      <c r="E21">
        <v>65</v>
      </c>
      <c r="F21">
        <v>-21</v>
      </c>
      <c r="G21">
        <v>8</v>
      </c>
      <c r="H21">
        <v>60</v>
      </c>
      <c r="I21">
        <v>5</v>
      </c>
      <c r="J21" t="s">
        <v>86</v>
      </c>
      <c r="K21" t="s">
        <v>86</v>
      </c>
      <c r="L21" t="s">
        <v>86</v>
      </c>
      <c r="M21">
        <v>397</v>
      </c>
      <c r="N21">
        <v>151</v>
      </c>
      <c r="O21">
        <v>3</v>
      </c>
      <c r="P21">
        <v>12</v>
      </c>
      <c r="Q21">
        <v>38</v>
      </c>
      <c r="R21">
        <v>6</v>
      </c>
      <c r="S21">
        <v>4</v>
      </c>
      <c r="T21">
        <v>59</v>
      </c>
      <c r="U21">
        <v>2</v>
      </c>
      <c r="V21">
        <v>5</v>
      </c>
      <c r="W21">
        <v>115</v>
      </c>
      <c r="X21">
        <v>939</v>
      </c>
      <c r="Y21">
        <v>793</v>
      </c>
      <c r="Z21">
        <v>419</v>
      </c>
      <c r="AA21">
        <v>15118</v>
      </c>
      <c r="AB21">
        <v>28</v>
      </c>
      <c r="AC21">
        <v>2357</v>
      </c>
      <c r="AD21">
        <v>775</v>
      </c>
      <c r="AE21">
        <v>161</v>
      </c>
      <c r="AF21">
        <v>107.91</v>
      </c>
      <c r="AG21">
        <v>5.43</v>
      </c>
      <c r="AH21">
        <v>26</v>
      </c>
      <c r="AI21">
        <v>23</v>
      </c>
      <c r="AJ21">
        <v>198</v>
      </c>
      <c r="AK21">
        <v>42</v>
      </c>
      <c r="AL21" s="4">
        <v>4.7142857142857144</v>
      </c>
      <c r="AM21" s="2">
        <v>49754</v>
      </c>
      <c r="AN21" s="5">
        <v>0.36</v>
      </c>
      <c r="AO21" s="13">
        <v>0</v>
      </c>
      <c r="AP21" s="13">
        <v>0</v>
      </c>
      <c r="AQ21" s="13">
        <v>0</v>
      </c>
      <c r="AR21" s="13">
        <v>1</v>
      </c>
      <c r="AS21" s="13">
        <v>0</v>
      </c>
      <c r="AT21" t="str">
        <f t="shared" si="0"/>
        <v>15/16</v>
      </c>
    </row>
    <row r="22" spans="2:46" x14ac:dyDescent="0.25">
      <c r="B22">
        <v>19</v>
      </c>
      <c r="C22" t="s">
        <v>19</v>
      </c>
      <c r="D22">
        <v>39</v>
      </c>
      <c r="E22">
        <v>67</v>
      </c>
      <c r="F22">
        <v>-28</v>
      </c>
      <c r="G22">
        <v>5</v>
      </c>
      <c r="H22">
        <v>61</v>
      </c>
      <c r="I22">
        <v>3</v>
      </c>
      <c r="J22" t="s">
        <v>86</v>
      </c>
      <c r="K22" t="s">
        <v>86</v>
      </c>
      <c r="L22" t="s">
        <v>86</v>
      </c>
      <c r="M22">
        <v>418</v>
      </c>
      <c r="N22">
        <v>129</v>
      </c>
      <c r="O22">
        <v>1</v>
      </c>
      <c r="P22">
        <v>3</v>
      </c>
      <c r="Q22">
        <v>33</v>
      </c>
      <c r="R22">
        <v>6</v>
      </c>
      <c r="S22">
        <v>0</v>
      </c>
      <c r="T22">
        <v>93</v>
      </c>
      <c r="U22">
        <v>2</v>
      </c>
      <c r="V22">
        <v>10</v>
      </c>
      <c r="W22">
        <v>103</v>
      </c>
      <c r="X22">
        <v>1212</v>
      </c>
      <c r="Y22">
        <v>608</v>
      </c>
      <c r="Z22">
        <v>431</v>
      </c>
      <c r="AA22">
        <v>14483</v>
      </c>
      <c r="AB22">
        <v>17</v>
      </c>
      <c r="AC22">
        <v>2124</v>
      </c>
      <c r="AD22">
        <v>818</v>
      </c>
      <c r="AE22">
        <v>188</v>
      </c>
      <c r="AF22">
        <v>50.5</v>
      </c>
      <c r="AG22">
        <v>21.49</v>
      </c>
      <c r="AH22">
        <v>33</v>
      </c>
      <c r="AI22">
        <v>30</v>
      </c>
      <c r="AJ22">
        <v>116.9</v>
      </c>
      <c r="AK22">
        <v>41</v>
      </c>
      <c r="AL22" s="4">
        <v>2.8512195121951223</v>
      </c>
      <c r="AM22" s="2">
        <v>26972</v>
      </c>
      <c r="AN22" s="5">
        <v>0.22</v>
      </c>
      <c r="AO22" s="13">
        <v>0</v>
      </c>
      <c r="AP22" s="13">
        <v>1</v>
      </c>
      <c r="AQ22" s="13">
        <v>0</v>
      </c>
      <c r="AR22" s="13">
        <v>1</v>
      </c>
      <c r="AS22" s="13">
        <v>0</v>
      </c>
      <c r="AT22" t="str">
        <f t="shared" si="0"/>
        <v>15/16</v>
      </c>
    </row>
    <row r="23" spans="2:46" x14ac:dyDescent="0.25">
      <c r="B23">
        <v>20</v>
      </c>
      <c r="C23" t="s">
        <v>8</v>
      </c>
      <c r="D23">
        <v>27</v>
      </c>
      <c r="E23">
        <v>76</v>
      </c>
      <c r="F23">
        <v>-49</v>
      </c>
      <c r="G23">
        <v>6</v>
      </c>
      <c r="H23">
        <v>75</v>
      </c>
      <c r="I23">
        <v>3</v>
      </c>
      <c r="J23" t="s">
        <v>86</v>
      </c>
      <c r="K23" t="s">
        <v>86</v>
      </c>
      <c r="L23" t="s">
        <v>86</v>
      </c>
      <c r="M23">
        <v>380</v>
      </c>
      <c r="N23">
        <v>110</v>
      </c>
      <c r="O23">
        <v>2</v>
      </c>
      <c r="P23">
        <v>6</v>
      </c>
      <c r="Q23">
        <v>21</v>
      </c>
      <c r="R23">
        <v>6</v>
      </c>
      <c r="S23">
        <v>1</v>
      </c>
      <c r="T23">
        <v>42</v>
      </c>
      <c r="U23">
        <v>4</v>
      </c>
      <c r="V23">
        <v>5</v>
      </c>
      <c r="W23">
        <v>116</v>
      </c>
      <c r="X23">
        <v>973</v>
      </c>
      <c r="Y23">
        <v>731</v>
      </c>
      <c r="Z23">
        <v>429</v>
      </c>
      <c r="AA23">
        <v>15308</v>
      </c>
      <c r="AB23">
        <v>12</v>
      </c>
      <c r="AC23">
        <v>2269</v>
      </c>
      <c r="AD23">
        <v>796</v>
      </c>
      <c r="AE23">
        <v>167</v>
      </c>
      <c r="AF23">
        <v>66.55</v>
      </c>
      <c r="AG23">
        <v>64.7</v>
      </c>
      <c r="AH23">
        <v>29</v>
      </c>
      <c r="AI23">
        <v>32</v>
      </c>
      <c r="AJ23">
        <v>117.95</v>
      </c>
      <c r="AK23">
        <v>44</v>
      </c>
      <c r="AL23" s="4">
        <v>2.6806818181818182</v>
      </c>
      <c r="AM23" s="3">
        <v>33690</v>
      </c>
      <c r="AN23" s="5">
        <v>0.06</v>
      </c>
      <c r="AO23" s="13">
        <v>0</v>
      </c>
      <c r="AP23" s="13">
        <v>0</v>
      </c>
      <c r="AQ23" s="13">
        <v>0</v>
      </c>
      <c r="AR23" s="13">
        <v>1</v>
      </c>
      <c r="AS23" s="13">
        <v>0</v>
      </c>
      <c r="AT23" t="str">
        <f t="shared" si="0"/>
        <v>15/16</v>
      </c>
    </row>
    <row r="26" spans="2:46" x14ac:dyDescent="0.25">
      <c r="B26" t="s">
        <v>48</v>
      </c>
      <c r="C26" s="1" t="s">
        <v>49</v>
      </c>
    </row>
    <row r="27" spans="2:46" x14ac:dyDescent="0.25">
      <c r="C27" s="1" t="s">
        <v>50</v>
      </c>
    </row>
    <row r="28" spans="2:46" x14ac:dyDescent="0.25">
      <c r="C28" s="1" t="s">
        <v>52</v>
      </c>
    </row>
    <row r="29" spans="2:46" x14ac:dyDescent="0.25">
      <c r="C29" s="1" t="s">
        <v>88</v>
      </c>
    </row>
    <row r="30" spans="2:46" x14ac:dyDescent="0.25">
      <c r="C30" s="1" t="s">
        <v>90</v>
      </c>
    </row>
  </sheetData>
  <mergeCells count="5">
    <mergeCell ref="D2:L2"/>
    <mergeCell ref="M2:T2"/>
    <mergeCell ref="U2:Z2"/>
    <mergeCell ref="AA2:AE2"/>
    <mergeCell ref="AF2:AN2"/>
  </mergeCells>
  <hyperlinks>
    <hyperlink ref="C26" r:id="rId1" xr:uid="{71AEAE58-491A-429B-99D7-BD3A6BDF2606}"/>
    <hyperlink ref="C27" r:id="rId2" xr:uid="{67DE8444-BCC8-4D50-9992-5540202FD5B8}"/>
    <hyperlink ref="C28" r:id="rId3" xr:uid="{EEBDB94E-9DAA-4DED-9AE0-51354A103F48}"/>
    <hyperlink ref="C29" r:id="rId4" xr:uid="{4A81E6C9-47E1-4DAC-8CF2-4914E1778AD4}"/>
    <hyperlink ref="C30" r:id="rId5" xr:uid="{7D6BF11C-605D-4FA9-B092-58C6B4CCBD82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0A6A-3E95-B944-84BE-6E4A5146602D}">
  <dimension ref="B2:AT23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12" sqref="C12"/>
    </sheetView>
  </sheetViews>
  <sheetFormatPr baseColWidth="10" defaultColWidth="11.125" defaultRowHeight="15.75" x14ac:dyDescent="0.25"/>
  <cols>
    <col min="2" max="3" width="20.125" bestFit="1" customWidth="1"/>
    <col min="4" max="4" width="12" bestFit="1" customWidth="1"/>
    <col min="5" max="6" width="12" customWidth="1"/>
    <col min="7" max="7" width="15" bestFit="1" customWidth="1"/>
    <col min="8" max="8" width="16.375" bestFit="1" customWidth="1"/>
    <col min="9" max="9" width="12.875" bestFit="1" customWidth="1"/>
    <col min="10" max="10" width="28.625" bestFit="1" customWidth="1"/>
    <col min="11" max="11" width="31.125" customWidth="1"/>
    <col min="12" max="12" width="31.125" bestFit="1" customWidth="1"/>
    <col min="22" max="22" width="17.625" bestFit="1" customWidth="1"/>
    <col min="34" max="34" width="15.625" bestFit="1" customWidth="1"/>
    <col min="35" max="36" width="17.375" bestFit="1" customWidth="1"/>
    <col min="37" max="37" width="13.125" bestFit="1" customWidth="1"/>
    <col min="38" max="38" width="22.875" bestFit="1" customWidth="1"/>
    <col min="39" max="39" width="27" bestFit="1" customWidth="1"/>
    <col min="40" max="40" width="13.375" bestFit="1" customWidth="1"/>
  </cols>
  <sheetData>
    <row r="2" spans="2:46" x14ac:dyDescent="0.25">
      <c r="B2" t="s">
        <v>38</v>
      </c>
      <c r="D2" s="99" t="s">
        <v>79</v>
      </c>
      <c r="E2" s="99"/>
      <c r="F2" s="99"/>
      <c r="G2" s="99"/>
      <c r="H2" s="99"/>
      <c r="I2" s="99"/>
      <c r="J2" s="99"/>
      <c r="K2" s="99"/>
      <c r="L2" s="99"/>
      <c r="M2" s="100" t="s">
        <v>80</v>
      </c>
      <c r="N2" s="100"/>
      <c r="O2" s="100"/>
      <c r="P2" s="100"/>
      <c r="Q2" s="100"/>
      <c r="R2" s="100"/>
      <c r="S2" s="100"/>
      <c r="T2" s="100"/>
      <c r="U2" s="101" t="s">
        <v>81</v>
      </c>
      <c r="V2" s="101"/>
      <c r="W2" s="101"/>
      <c r="X2" s="101"/>
      <c r="Y2" s="101"/>
      <c r="Z2" s="101"/>
      <c r="AA2" s="102" t="s">
        <v>82</v>
      </c>
      <c r="AB2" s="102"/>
      <c r="AC2" s="102"/>
      <c r="AD2" s="102"/>
      <c r="AE2" s="102"/>
      <c r="AF2" s="103" t="s">
        <v>83</v>
      </c>
      <c r="AG2" s="103"/>
      <c r="AH2" s="103"/>
      <c r="AI2" s="103"/>
      <c r="AJ2" s="103"/>
      <c r="AK2" s="103"/>
      <c r="AL2" s="103"/>
      <c r="AM2" s="103"/>
      <c r="AN2" s="103"/>
      <c r="AO2" s="9"/>
      <c r="AP2" s="9"/>
      <c r="AQ2" s="9"/>
      <c r="AR2" s="9"/>
      <c r="AS2" s="9"/>
    </row>
    <row r="3" spans="2:46" x14ac:dyDescent="0.25">
      <c r="B3" t="s">
        <v>0</v>
      </c>
      <c r="C3" t="s">
        <v>24</v>
      </c>
      <c r="D3" t="s">
        <v>20</v>
      </c>
      <c r="E3" t="s">
        <v>42</v>
      </c>
      <c r="F3" t="s">
        <v>43</v>
      </c>
      <c r="G3" t="s">
        <v>21</v>
      </c>
      <c r="H3" t="s">
        <v>22</v>
      </c>
      <c r="I3" t="s">
        <v>23</v>
      </c>
      <c r="J3" t="s">
        <v>46</v>
      </c>
      <c r="K3" t="s">
        <v>47</v>
      </c>
      <c r="L3" t="s">
        <v>53</v>
      </c>
      <c r="M3" t="s">
        <v>55</v>
      </c>
      <c r="N3" t="s">
        <v>54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63</v>
      </c>
      <c r="U3" t="s">
        <v>61</v>
      </c>
      <c r="V3" t="s">
        <v>62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44</v>
      </c>
      <c r="AG3" t="s">
        <v>45</v>
      </c>
      <c r="AH3" t="s">
        <v>73</v>
      </c>
      <c r="AI3" t="s">
        <v>74</v>
      </c>
      <c r="AJ3" t="s">
        <v>51</v>
      </c>
      <c r="AK3" t="s">
        <v>75</v>
      </c>
      <c r="AL3" t="s">
        <v>76</v>
      </c>
      <c r="AM3" t="s">
        <v>77</v>
      </c>
      <c r="AN3" t="s">
        <v>78</v>
      </c>
      <c r="AO3" t="s">
        <v>101</v>
      </c>
      <c r="AP3" t="s">
        <v>102</v>
      </c>
      <c r="AQ3" t="s">
        <v>104</v>
      </c>
      <c r="AR3" t="s">
        <v>105</v>
      </c>
      <c r="AS3" t="s">
        <v>106</v>
      </c>
      <c r="AT3" t="s">
        <v>92</v>
      </c>
    </row>
    <row r="4" spans="2:46" x14ac:dyDescent="0.25">
      <c r="B4">
        <v>1</v>
      </c>
      <c r="C4" t="s">
        <v>2</v>
      </c>
      <c r="D4">
        <v>85</v>
      </c>
      <c r="E4">
        <v>33</v>
      </c>
      <c r="F4">
        <v>52</v>
      </c>
      <c r="G4">
        <v>16</v>
      </c>
      <c r="H4">
        <v>72</v>
      </c>
      <c r="I4">
        <v>0</v>
      </c>
      <c r="J4" t="s">
        <v>86</v>
      </c>
      <c r="K4" t="s">
        <v>86</v>
      </c>
      <c r="L4" t="s">
        <v>86</v>
      </c>
      <c r="M4">
        <v>582</v>
      </c>
      <c r="N4">
        <v>205</v>
      </c>
      <c r="O4">
        <v>2</v>
      </c>
      <c r="P4">
        <v>8</v>
      </c>
      <c r="Q4">
        <v>73</v>
      </c>
      <c r="S4">
        <v>12</v>
      </c>
      <c r="T4">
        <v>65</v>
      </c>
      <c r="U4">
        <v>1</v>
      </c>
      <c r="V4">
        <v>2</v>
      </c>
      <c r="W4">
        <v>72</v>
      </c>
      <c r="X4">
        <v>839</v>
      </c>
      <c r="Y4">
        <v>652</v>
      </c>
      <c r="Z4">
        <v>394</v>
      </c>
      <c r="AA4">
        <v>20125</v>
      </c>
      <c r="AB4">
        <v>103</v>
      </c>
      <c r="AC4">
        <v>2967</v>
      </c>
      <c r="AD4">
        <v>697</v>
      </c>
      <c r="AE4">
        <v>218</v>
      </c>
      <c r="AF4">
        <v>132.80000000000001</v>
      </c>
      <c r="AG4">
        <v>108.9</v>
      </c>
      <c r="AH4">
        <v>27</v>
      </c>
      <c r="AI4">
        <v>30</v>
      </c>
      <c r="AJ4">
        <v>686.7</v>
      </c>
      <c r="AK4">
        <v>49</v>
      </c>
      <c r="AL4" s="4">
        <f>AJ4/AK4</f>
        <v>14.014285714285716</v>
      </c>
      <c r="AM4">
        <v>41508</v>
      </c>
      <c r="AN4" s="5">
        <v>0.14000000000000001</v>
      </c>
      <c r="AO4" s="13">
        <v>0</v>
      </c>
      <c r="AP4" s="13">
        <v>0</v>
      </c>
      <c r="AQ4" s="13">
        <v>1</v>
      </c>
      <c r="AR4" s="13">
        <v>0</v>
      </c>
      <c r="AS4" s="13">
        <v>1</v>
      </c>
      <c r="AT4" t="s">
        <v>95</v>
      </c>
    </row>
    <row r="5" spans="2:46" x14ac:dyDescent="0.25">
      <c r="B5">
        <v>2</v>
      </c>
      <c r="C5" t="s">
        <v>3</v>
      </c>
      <c r="D5">
        <v>86</v>
      </c>
      <c r="E5">
        <v>26</v>
      </c>
      <c r="F5">
        <v>60</v>
      </c>
      <c r="G5">
        <v>17</v>
      </c>
      <c r="H5">
        <v>62</v>
      </c>
      <c r="I5">
        <v>0</v>
      </c>
      <c r="J5" t="s">
        <v>86</v>
      </c>
      <c r="K5" t="s">
        <v>86</v>
      </c>
      <c r="L5" t="s">
        <v>86</v>
      </c>
      <c r="M5">
        <v>670</v>
      </c>
      <c r="N5">
        <v>257</v>
      </c>
      <c r="O5">
        <v>7</v>
      </c>
      <c r="P5">
        <v>10</v>
      </c>
      <c r="Q5">
        <v>74</v>
      </c>
      <c r="S5">
        <v>12</v>
      </c>
      <c r="T5">
        <v>74</v>
      </c>
      <c r="U5">
        <v>1</v>
      </c>
      <c r="V5">
        <v>2</v>
      </c>
      <c r="W5">
        <v>84</v>
      </c>
      <c r="X5">
        <v>1003</v>
      </c>
      <c r="Y5">
        <v>661</v>
      </c>
      <c r="Z5">
        <v>431</v>
      </c>
      <c r="AA5">
        <v>20153</v>
      </c>
      <c r="AB5">
        <v>47</v>
      </c>
      <c r="AC5">
        <v>3132</v>
      </c>
      <c r="AD5">
        <v>763</v>
      </c>
      <c r="AE5">
        <v>273</v>
      </c>
      <c r="AF5">
        <v>83.5</v>
      </c>
      <c r="AG5">
        <v>52.3</v>
      </c>
      <c r="AH5">
        <v>8</v>
      </c>
      <c r="AI5">
        <v>8</v>
      </c>
      <c r="AJ5">
        <v>543.65</v>
      </c>
      <c r="AK5">
        <v>38</v>
      </c>
      <c r="AL5" s="4">
        <f t="shared" ref="AL5:AL23" si="0">AJ5/AK5</f>
        <v>14.30657894736842</v>
      </c>
      <c r="AM5">
        <v>31639</v>
      </c>
      <c r="AN5" s="5">
        <v>0.2</v>
      </c>
      <c r="AO5" s="13">
        <v>1</v>
      </c>
      <c r="AP5" s="13">
        <v>0</v>
      </c>
      <c r="AQ5" s="13">
        <v>1</v>
      </c>
      <c r="AR5" s="13">
        <v>0</v>
      </c>
      <c r="AS5" s="13">
        <v>1</v>
      </c>
      <c r="AT5" t="str">
        <f>AT4</f>
        <v>16/17</v>
      </c>
    </row>
    <row r="6" spans="2:46" x14ac:dyDescent="0.25">
      <c r="B6">
        <v>3</v>
      </c>
      <c r="C6" t="s">
        <v>25</v>
      </c>
      <c r="D6">
        <v>80</v>
      </c>
      <c r="E6">
        <v>39</v>
      </c>
      <c r="F6">
        <v>41</v>
      </c>
      <c r="G6">
        <v>12</v>
      </c>
      <c r="H6">
        <v>71</v>
      </c>
      <c r="I6">
        <v>4</v>
      </c>
      <c r="J6" t="s">
        <v>86</v>
      </c>
      <c r="K6" t="s">
        <v>86</v>
      </c>
      <c r="L6" t="s">
        <v>86</v>
      </c>
      <c r="M6">
        <v>633</v>
      </c>
      <c r="N6">
        <v>215</v>
      </c>
      <c r="O6">
        <v>7</v>
      </c>
      <c r="P6">
        <v>8</v>
      </c>
      <c r="Q6">
        <v>73</v>
      </c>
      <c r="S6">
        <v>7</v>
      </c>
      <c r="T6">
        <v>93</v>
      </c>
      <c r="U6">
        <v>1</v>
      </c>
      <c r="V6">
        <v>5</v>
      </c>
      <c r="W6">
        <v>66</v>
      </c>
      <c r="X6">
        <v>904</v>
      </c>
      <c r="Y6">
        <v>642</v>
      </c>
      <c r="Z6">
        <v>395</v>
      </c>
      <c r="AA6">
        <v>22705</v>
      </c>
      <c r="AB6">
        <v>124</v>
      </c>
      <c r="AC6">
        <v>3534</v>
      </c>
      <c r="AD6">
        <v>810</v>
      </c>
      <c r="AE6">
        <v>280</v>
      </c>
      <c r="AF6">
        <v>215</v>
      </c>
      <c r="AG6">
        <v>35.35</v>
      </c>
      <c r="AH6">
        <v>31</v>
      </c>
      <c r="AI6">
        <v>25</v>
      </c>
      <c r="AJ6">
        <v>576.6</v>
      </c>
      <c r="AK6">
        <v>35</v>
      </c>
      <c r="AL6" s="4">
        <f t="shared" si="0"/>
        <v>16.474285714285713</v>
      </c>
      <c r="AM6">
        <v>54019</v>
      </c>
      <c r="AN6" s="5">
        <v>0.03</v>
      </c>
      <c r="AO6" s="13">
        <v>1</v>
      </c>
      <c r="AP6" s="13">
        <v>0</v>
      </c>
      <c r="AQ6" s="13">
        <v>1</v>
      </c>
      <c r="AR6" s="13">
        <v>0</v>
      </c>
      <c r="AS6" s="13">
        <v>1</v>
      </c>
      <c r="AT6" t="str">
        <f t="shared" ref="AT6:AT23" si="1">AT5</f>
        <v>16/17</v>
      </c>
    </row>
    <row r="7" spans="2:46" x14ac:dyDescent="0.25">
      <c r="B7">
        <v>4</v>
      </c>
      <c r="C7" t="s">
        <v>1</v>
      </c>
      <c r="D7">
        <v>78</v>
      </c>
      <c r="E7">
        <v>42</v>
      </c>
      <c r="F7">
        <v>36</v>
      </c>
      <c r="G7">
        <v>12</v>
      </c>
      <c r="H7">
        <v>54</v>
      </c>
      <c r="I7">
        <v>0</v>
      </c>
      <c r="J7" t="s">
        <v>86</v>
      </c>
      <c r="K7" t="s">
        <v>86</v>
      </c>
      <c r="L7" t="s">
        <v>86</v>
      </c>
      <c r="M7">
        <v>639</v>
      </c>
      <c r="N7">
        <v>236</v>
      </c>
      <c r="O7">
        <v>7</v>
      </c>
      <c r="P7">
        <v>12</v>
      </c>
      <c r="Q7">
        <v>65</v>
      </c>
      <c r="S7">
        <v>13</v>
      </c>
      <c r="T7">
        <v>78</v>
      </c>
      <c r="U7">
        <v>0</v>
      </c>
      <c r="V7">
        <v>5</v>
      </c>
      <c r="W7">
        <v>72</v>
      </c>
      <c r="X7">
        <v>883</v>
      </c>
      <c r="Y7">
        <v>718</v>
      </c>
      <c r="Z7">
        <v>396</v>
      </c>
      <c r="AA7">
        <v>22283</v>
      </c>
      <c r="AB7">
        <v>58</v>
      </c>
      <c r="AC7">
        <v>3292</v>
      </c>
      <c r="AD7">
        <v>815</v>
      </c>
      <c r="AE7">
        <v>249</v>
      </c>
      <c r="AF7">
        <v>79.900000000000006</v>
      </c>
      <c r="AG7">
        <v>85.38</v>
      </c>
      <c r="AH7">
        <v>21</v>
      </c>
      <c r="AI7">
        <v>19</v>
      </c>
      <c r="AJ7">
        <v>425.65</v>
      </c>
      <c r="AK7">
        <v>38</v>
      </c>
      <c r="AL7" s="4">
        <f t="shared" si="0"/>
        <v>11.201315789473684</v>
      </c>
      <c r="AM7">
        <v>53016</v>
      </c>
      <c r="AN7" s="5">
        <v>0.15</v>
      </c>
      <c r="AO7" s="13">
        <v>0</v>
      </c>
      <c r="AP7" s="13">
        <v>0</v>
      </c>
      <c r="AQ7" s="13">
        <v>1</v>
      </c>
      <c r="AR7" s="13">
        <v>0</v>
      </c>
      <c r="AS7" s="13">
        <v>1</v>
      </c>
      <c r="AT7" t="str">
        <f t="shared" si="1"/>
        <v>16/17</v>
      </c>
    </row>
    <row r="8" spans="2:46" x14ac:dyDescent="0.25">
      <c r="B8">
        <v>5</v>
      </c>
      <c r="C8" t="s">
        <v>6</v>
      </c>
      <c r="D8">
        <v>77</v>
      </c>
      <c r="E8">
        <v>44</v>
      </c>
      <c r="F8">
        <v>33</v>
      </c>
      <c r="G8">
        <v>13</v>
      </c>
      <c r="H8">
        <v>68</v>
      </c>
      <c r="I8">
        <v>3</v>
      </c>
      <c r="J8" t="s">
        <v>86</v>
      </c>
      <c r="K8" t="s">
        <v>86</v>
      </c>
      <c r="L8" t="s">
        <v>86</v>
      </c>
      <c r="M8">
        <v>568</v>
      </c>
      <c r="N8">
        <v>201</v>
      </c>
      <c r="O8">
        <v>4</v>
      </c>
      <c r="P8">
        <v>17</v>
      </c>
      <c r="Q8">
        <v>70</v>
      </c>
      <c r="S8">
        <v>7</v>
      </c>
      <c r="T8">
        <v>99</v>
      </c>
      <c r="U8">
        <v>1</v>
      </c>
      <c r="V8">
        <v>10</v>
      </c>
      <c r="W8">
        <v>123</v>
      </c>
      <c r="X8">
        <v>839</v>
      </c>
      <c r="Y8">
        <v>674</v>
      </c>
      <c r="Z8">
        <v>394</v>
      </c>
      <c r="AA8">
        <v>21392</v>
      </c>
      <c r="AB8">
        <v>129</v>
      </c>
      <c r="AC8">
        <v>2835</v>
      </c>
      <c r="AD8">
        <v>701</v>
      </c>
      <c r="AE8">
        <v>227</v>
      </c>
      <c r="AF8">
        <v>113.04</v>
      </c>
      <c r="AG8">
        <v>10.35</v>
      </c>
      <c r="AH8">
        <v>11</v>
      </c>
      <c r="AI8">
        <v>12</v>
      </c>
      <c r="AJ8">
        <v>542</v>
      </c>
      <c r="AK8">
        <v>42</v>
      </c>
      <c r="AL8" s="4">
        <f t="shared" si="0"/>
        <v>12.904761904761905</v>
      </c>
      <c r="AM8">
        <v>59957</v>
      </c>
      <c r="AN8" s="5">
        <v>0.15</v>
      </c>
      <c r="AO8" s="13">
        <v>1</v>
      </c>
      <c r="AP8" s="13">
        <v>0</v>
      </c>
      <c r="AQ8" s="13">
        <v>0</v>
      </c>
      <c r="AR8" s="13">
        <v>0</v>
      </c>
      <c r="AS8" s="13">
        <v>1</v>
      </c>
      <c r="AT8" t="str">
        <f t="shared" si="1"/>
        <v>16/17</v>
      </c>
    </row>
    <row r="9" spans="2:46" x14ac:dyDescent="0.25">
      <c r="B9">
        <v>6</v>
      </c>
      <c r="C9" t="s">
        <v>4</v>
      </c>
      <c r="D9">
        <v>54</v>
      </c>
      <c r="E9">
        <v>29</v>
      </c>
      <c r="F9">
        <v>25</v>
      </c>
      <c r="G9">
        <v>17</v>
      </c>
      <c r="H9">
        <v>78</v>
      </c>
      <c r="I9">
        <v>2</v>
      </c>
      <c r="J9" t="s">
        <v>86</v>
      </c>
      <c r="K9" t="s">
        <v>86</v>
      </c>
      <c r="L9" t="s">
        <v>86</v>
      </c>
      <c r="M9">
        <v>589</v>
      </c>
      <c r="N9">
        <v>207</v>
      </c>
      <c r="O9">
        <v>3</v>
      </c>
      <c r="P9">
        <v>9</v>
      </c>
      <c r="Q9">
        <v>47</v>
      </c>
      <c r="S9">
        <v>7</v>
      </c>
      <c r="T9">
        <v>102</v>
      </c>
      <c r="U9">
        <v>1</v>
      </c>
      <c r="V9">
        <v>5</v>
      </c>
      <c r="W9">
        <v>87</v>
      </c>
      <c r="X9">
        <v>1110</v>
      </c>
      <c r="Y9">
        <v>690</v>
      </c>
      <c r="Z9">
        <v>498</v>
      </c>
      <c r="AA9">
        <v>20247</v>
      </c>
      <c r="AB9">
        <v>99</v>
      </c>
      <c r="AC9">
        <v>3177</v>
      </c>
      <c r="AD9">
        <v>852</v>
      </c>
      <c r="AE9">
        <v>217</v>
      </c>
      <c r="AF9">
        <v>185</v>
      </c>
      <c r="AG9">
        <v>47.25</v>
      </c>
      <c r="AH9">
        <v>9</v>
      </c>
      <c r="AI9">
        <v>14</v>
      </c>
      <c r="AJ9">
        <v>531.45000000000005</v>
      </c>
      <c r="AK9">
        <v>42</v>
      </c>
      <c r="AL9" s="4">
        <f t="shared" si="0"/>
        <v>12.65357142857143</v>
      </c>
      <c r="AM9">
        <v>75290</v>
      </c>
      <c r="AN9" s="5">
        <v>7.0000000000000007E-2</v>
      </c>
      <c r="AO9" s="13">
        <v>1</v>
      </c>
      <c r="AP9" s="13">
        <v>0</v>
      </c>
      <c r="AQ9" s="13">
        <v>0</v>
      </c>
      <c r="AR9" s="13">
        <v>0</v>
      </c>
      <c r="AS9" s="13">
        <v>1</v>
      </c>
      <c r="AT9" t="str">
        <f t="shared" si="1"/>
        <v>16/17</v>
      </c>
    </row>
    <row r="10" spans="2:46" x14ac:dyDescent="0.25">
      <c r="B10">
        <v>7</v>
      </c>
      <c r="C10" t="s">
        <v>15</v>
      </c>
      <c r="D10">
        <v>62</v>
      </c>
      <c r="E10">
        <v>44</v>
      </c>
      <c r="F10">
        <v>18</v>
      </c>
      <c r="G10">
        <v>13</v>
      </c>
      <c r="H10">
        <v>72</v>
      </c>
      <c r="I10">
        <v>2</v>
      </c>
      <c r="J10" t="s">
        <v>86</v>
      </c>
      <c r="K10" t="s">
        <v>86</v>
      </c>
      <c r="L10" t="s">
        <v>86</v>
      </c>
      <c r="M10">
        <v>500</v>
      </c>
      <c r="N10">
        <v>192</v>
      </c>
      <c r="O10">
        <v>3</v>
      </c>
      <c r="P10">
        <v>13</v>
      </c>
      <c r="Q10">
        <v>59</v>
      </c>
      <c r="S10">
        <v>3</v>
      </c>
      <c r="T10">
        <v>83</v>
      </c>
      <c r="U10">
        <v>1</v>
      </c>
      <c r="V10">
        <v>5</v>
      </c>
      <c r="W10">
        <v>104</v>
      </c>
      <c r="X10">
        <v>1117</v>
      </c>
      <c r="Y10">
        <v>714</v>
      </c>
      <c r="Z10">
        <v>457</v>
      </c>
      <c r="AA10">
        <v>17584</v>
      </c>
      <c r="AB10">
        <v>40</v>
      </c>
      <c r="AC10">
        <v>2743</v>
      </c>
      <c r="AD10">
        <v>775</v>
      </c>
      <c r="AE10">
        <v>196</v>
      </c>
      <c r="AF10">
        <v>86</v>
      </c>
      <c r="AG10">
        <v>60.8</v>
      </c>
      <c r="AH10">
        <v>18</v>
      </c>
      <c r="AI10">
        <v>19</v>
      </c>
      <c r="AJ10">
        <v>311.25</v>
      </c>
      <c r="AK10">
        <v>39</v>
      </c>
      <c r="AL10" s="4">
        <f t="shared" si="0"/>
        <v>7.9807692307692308</v>
      </c>
      <c r="AM10">
        <v>39047</v>
      </c>
      <c r="AN10" s="5">
        <v>0.32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t="str">
        <f t="shared" si="1"/>
        <v>16/17</v>
      </c>
    </row>
    <row r="11" spans="2:46" x14ac:dyDescent="0.25">
      <c r="B11">
        <v>8</v>
      </c>
      <c r="C11" t="s">
        <v>11</v>
      </c>
      <c r="D11">
        <v>41</v>
      </c>
      <c r="E11">
        <v>48</v>
      </c>
      <c r="F11">
        <v>-7</v>
      </c>
      <c r="G11">
        <v>14</v>
      </c>
      <c r="H11">
        <v>59</v>
      </c>
      <c r="I11">
        <v>2</v>
      </c>
      <c r="J11" t="s">
        <v>86</v>
      </c>
      <c r="K11" t="s">
        <v>86</v>
      </c>
      <c r="L11" t="s">
        <v>86</v>
      </c>
      <c r="M11">
        <v>549</v>
      </c>
      <c r="N11">
        <v>179</v>
      </c>
      <c r="O11">
        <v>3</v>
      </c>
      <c r="P11">
        <v>4</v>
      </c>
      <c r="Q11">
        <v>37</v>
      </c>
      <c r="S11">
        <v>4</v>
      </c>
      <c r="T11">
        <v>75</v>
      </c>
      <c r="U11">
        <v>0</v>
      </c>
      <c r="V11">
        <v>9</v>
      </c>
      <c r="W11">
        <v>82</v>
      </c>
      <c r="X11">
        <v>919</v>
      </c>
      <c r="Y11">
        <v>675</v>
      </c>
      <c r="Z11">
        <v>426</v>
      </c>
      <c r="AA11">
        <v>18240</v>
      </c>
      <c r="AB11">
        <v>58</v>
      </c>
      <c r="AC11">
        <v>2784</v>
      </c>
      <c r="AD11">
        <v>960</v>
      </c>
      <c r="AE11">
        <v>198</v>
      </c>
      <c r="AF11">
        <v>68.900000000000006</v>
      </c>
      <c r="AG11">
        <v>85.05</v>
      </c>
      <c r="AH11">
        <v>12</v>
      </c>
      <c r="AI11">
        <v>9</v>
      </c>
      <c r="AJ11">
        <v>263.75</v>
      </c>
      <c r="AK11">
        <v>36</v>
      </c>
      <c r="AL11" s="4">
        <f t="shared" si="0"/>
        <v>7.3263888888888893</v>
      </c>
      <c r="AM11">
        <v>30936</v>
      </c>
      <c r="AN11" s="5">
        <v>-0.03</v>
      </c>
      <c r="AO11" s="13">
        <v>1</v>
      </c>
      <c r="AP11" s="13">
        <v>0</v>
      </c>
      <c r="AQ11" s="13">
        <v>0</v>
      </c>
      <c r="AR11" s="13">
        <v>0</v>
      </c>
      <c r="AS11" s="13">
        <v>0</v>
      </c>
      <c r="AT11" t="str">
        <f t="shared" si="1"/>
        <v>16/17</v>
      </c>
    </row>
    <row r="12" spans="2:46" x14ac:dyDescent="0.25">
      <c r="B12">
        <v>9</v>
      </c>
      <c r="C12" t="s">
        <v>31</v>
      </c>
      <c r="D12">
        <v>55</v>
      </c>
      <c r="E12">
        <v>67</v>
      </c>
      <c r="F12">
        <v>-12</v>
      </c>
      <c r="G12">
        <v>10</v>
      </c>
      <c r="H12">
        <v>52</v>
      </c>
      <c r="I12">
        <v>3</v>
      </c>
      <c r="J12" t="s">
        <v>86</v>
      </c>
      <c r="K12" t="s">
        <v>86</v>
      </c>
      <c r="L12" t="s">
        <v>86</v>
      </c>
      <c r="M12">
        <v>452</v>
      </c>
      <c r="N12">
        <v>160</v>
      </c>
      <c r="O12">
        <v>7</v>
      </c>
      <c r="P12">
        <v>5</v>
      </c>
      <c r="Q12">
        <v>51</v>
      </c>
      <c r="S12">
        <v>4</v>
      </c>
      <c r="T12">
        <v>54</v>
      </c>
      <c r="U12">
        <v>4</v>
      </c>
      <c r="V12">
        <v>5</v>
      </c>
      <c r="W12">
        <v>122</v>
      </c>
      <c r="X12">
        <v>1091</v>
      </c>
      <c r="Y12">
        <v>605</v>
      </c>
      <c r="Z12">
        <v>372</v>
      </c>
      <c r="AA12">
        <v>17145</v>
      </c>
      <c r="AB12">
        <v>51</v>
      </c>
      <c r="AC12">
        <v>2651</v>
      </c>
      <c r="AD12">
        <v>642</v>
      </c>
      <c r="AE12">
        <v>193</v>
      </c>
      <c r="AF12">
        <v>40.69</v>
      </c>
      <c r="AG12">
        <v>23.69</v>
      </c>
      <c r="AH12">
        <v>19</v>
      </c>
      <c r="AI12">
        <v>30</v>
      </c>
      <c r="AJ12">
        <v>131.6</v>
      </c>
      <c r="AK12">
        <v>41</v>
      </c>
      <c r="AL12" s="4">
        <f t="shared" si="0"/>
        <v>3.2097560975609754</v>
      </c>
      <c r="AM12">
        <v>11182</v>
      </c>
      <c r="AN12" s="5">
        <v>0.2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t="str">
        <f t="shared" si="1"/>
        <v>16/17</v>
      </c>
    </row>
    <row r="13" spans="2:46" x14ac:dyDescent="0.25">
      <c r="B13">
        <v>10</v>
      </c>
      <c r="C13" t="s">
        <v>28</v>
      </c>
      <c r="D13">
        <v>43</v>
      </c>
      <c r="E13">
        <v>51</v>
      </c>
      <c r="F13">
        <v>-8</v>
      </c>
      <c r="G13">
        <v>6</v>
      </c>
      <c r="H13">
        <v>80</v>
      </c>
      <c r="I13">
        <v>0</v>
      </c>
      <c r="J13" t="s">
        <v>86</v>
      </c>
      <c r="K13" t="s">
        <v>86</v>
      </c>
      <c r="L13" t="s">
        <v>86</v>
      </c>
      <c r="M13">
        <v>399</v>
      </c>
      <c r="N13">
        <v>124</v>
      </c>
      <c r="O13">
        <v>1</v>
      </c>
      <c r="P13">
        <v>16</v>
      </c>
      <c r="Q13">
        <v>37</v>
      </c>
      <c r="S13">
        <v>6</v>
      </c>
      <c r="T13">
        <v>61</v>
      </c>
      <c r="U13">
        <v>1</v>
      </c>
      <c r="V13">
        <v>3</v>
      </c>
      <c r="W13">
        <v>109</v>
      </c>
      <c r="X13">
        <v>997</v>
      </c>
      <c r="Y13">
        <v>607</v>
      </c>
      <c r="Z13">
        <v>448</v>
      </c>
      <c r="AA13">
        <v>11821</v>
      </c>
      <c r="AB13">
        <v>37</v>
      </c>
      <c r="AC13">
        <v>1800</v>
      </c>
      <c r="AD13">
        <v>770</v>
      </c>
      <c r="AE13">
        <v>159</v>
      </c>
      <c r="AF13">
        <v>37.9</v>
      </c>
      <c r="AG13">
        <v>26.98</v>
      </c>
      <c r="AH13">
        <v>13</v>
      </c>
      <c r="AI13">
        <v>14</v>
      </c>
      <c r="AJ13">
        <v>123.2</v>
      </c>
      <c r="AK13">
        <v>30</v>
      </c>
      <c r="AL13" s="4">
        <f t="shared" si="0"/>
        <v>4.1066666666666665</v>
      </c>
      <c r="AM13">
        <v>23876</v>
      </c>
      <c r="AN13" s="5">
        <v>0.2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t="str">
        <f t="shared" si="1"/>
        <v>16/17</v>
      </c>
    </row>
    <row r="14" spans="2:46" x14ac:dyDescent="0.25">
      <c r="B14">
        <v>11</v>
      </c>
      <c r="C14" t="s">
        <v>5</v>
      </c>
      <c r="D14">
        <v>47</v>
      </c>
      <c r="E14">
        <v>64</v>
      </c>
      <c r="F14">
        <v>-17</v>
      </c>
      <c r="G14">
        <v>10</v>
      </c>
      <c r="H14">
        <v>78</v>
      </c>
      <c r="I14">
        <v>5</v>
      </c>
      <c r="J14" t="s">
        <v>86</v>
      </c>
      <c r="K14" t="s">
        <v>86</v>
      </c>
      <c r="L14" t="s">
        <v>86</v>
      </c>
      <c r="M14">
        <v>498</v>
      </c>
      <c r="N14">
        <v>136</v>
      </c>
      <c r="O14">
        <v>3</v>
      </c>
      <c r="P14">
        <v>13</v>
      </c>
      <c r="Q14">
        <v>40</v>
      </c>
      <c r="S14">
        <v>7</v>
      </c>
      <c r="T14">
        <v>80</v>
      </c>
      <c r="U14">
        <v>0</v>
      </c>
      <c r="V14">
        <v>8</v>
      </c>
      <c r="W14">
        <v>118</v>
      </c>
      <c r="X14">
        <v>1071</v>
      </c>
      <c r="Y14">
        <v>575</v>
      </c>
      <c r="Z14">
        <v>408</v>
      </c>
      <c r="AA14">
        <v>15134</v>
      </c>
      <c r="AB14">
        <v>38</v>
      </c>
      <c r="AC14">
        <v>2318</v>
      </c>
      <c r="AD14">
        <v>759</v>
      </c>
      <c r="AE14">
        <v>172</v>
      </c>
      <c r="AF14">
        <v>83.5</v>
      </c>
      <c r="AG14">
        <v>41</v>
      </c>
      <c r="AH14">
        <v>22</v>
      </c>
      <c r="AI14">
        <v>15</v>
      </c>
      <c r="AJ14">
        <v>273.05</v>
      </c>
      <c r="AK14">
        <v>44</v>
      </c>
      <c r="AL14" s="4">
        <f t="shared" si="0"/>
        <v>6.2056818181818185</v>
      </c>
      <c r="AM14">
        <v>56972</v>
      </c>
      <c r="AN14" s="5">
        <v>-0.08</v>
      </c>
      <c r="AO14" s="13">
        <v>1</v>
      </c>
      <c r="AP14" s="13">
        <v>0</v>
      </c>
      <c r="AQ14" s="13">
        <v>0</v>
      </c>
      <c r="AR14" s="13">
        <v>0</v>
      </c>
      <c r="AS14" s="13">
        <v>0</v>
      </c>
      <c r="AT14" t="str">
        <f t="shared" si="1"/>
        <v>16/17</v>
      </c>
    </row>
    <row r="15" spans="2:46" x14ac:dyDescent="0.25">
      <c r="B15">
        <v>12</v>
      </c>
      <c r="C15" t="s">
        <v>7</v>
      </c>
      <c r="D15">
        <v>48</v>
      </c>
      <c r="E15">
        <v>63</v>
      </c>
      <c r="F15">
        <v>-15</v>
      </c>
      <c r="G15">
        <v>9</v>
      </c>
      <c r="H15">
        <v>72</v>
      </c>
      <c r="I15">
        <v>1</v>
      </c>
      <c r="J15" t="s">
        <v>86</v>
      </c>
      <c r="K15" t="s">
        <v>86</v>
      </c>
      <c r="L15" t="s">
        <v>86</v>
      </c>
      <c r="M15">
        <v>435</v>
      </c>
      <c r="N15">
        <v>145</v>
      </c>
      <c r="O15">
        <v>4</v>
      </c>
      <c r="P15">
        <v>10</v>
      </c>
      <c r="Q15">
        <v>39</v>
      </c>
      <c r="S15">
        <v>9</v>
      </c>
      <c r="T15">
        <v>65</v>
      </c>
      <c r="U15">
        <v>2</v>
      </c>
      <c r="V15">
        <v>3</v>
      </c>
      <c r="W15">
        <v>127</v>
      </c>
      <c r="X15">
        <v>1028</v>
      </c>
      <c r="Y15">
        <v>677</v>
      </c>
      <c r="Z15">
        <v>447</v>
      </c>
      <c r="AA15">
        <v>14558</v>
      </c>
      <c r="AB15">
        <v>25</v>
      </c>
      <c r="AC15">
        <v>1916</v>
      </c>
      <c r="AD15">
        <v>735</v>
      </c>
      <c r="AE15">
        <v>197</v>
      </c>
      <c r="AF15">
        <v>92.1</v>
      </c>
      <c r="AG15">
        <v>66.05</v>
      </c>
      <c r="AH15">
        <v>17</v>
      </c>
      <c r="AI15">
        <v>18</v>
      </c>
      <c r="AJ15">
        <v>218.65</v>
      </c>
      <c r="AK15">
        <v>31</v>
      </c>
      <c r="AL15" s="4">
        <f t="shared" si="0"/>
        <v>7.0532258064516133</v>
      </c>
      <c r="AM15">
        <v>31893</v>
      </c>
      <c r="AN15" s="5">
        <v>0.25</v>
      </c>
      <c r="AO15" s="13">
        <v>1</v>
      </c>
      <c r="AP15" s="13">
        <v>0</v>
      </c>
      <c r="AQ15" s="13">
        <v>0</v>
      </c>
      <c r="AR15" s="13">
        <v>0</v>
      </c>
      <c r="AS15" s="13">
        <v>0</v>
      </c>
      <c r="AT15" t="str">
        <f t="shared" si="1"/>
        <v>16/17</v>
      </c>
    </row>
    <row r="16" spans="2:46" x14ac:dyDescent="0.25">
      <c r="B16">
        <v>13</v>
      </c>
      <c r="C16" t="s">
        <v>37</v>
      </c>
      <c r="D16">
        <v>41</v>
      </c>
      <c r="E16">
        <v>56</v>
      </c>
      <c r="F16">
        <v>-15</v>
      </c>
      <c r="G16">
        <v>11</v>
      </c>
      <c r="H16">
        <v>70</v>
      </c>
      <c r="I16">
        <v>2</v>
      </c>
      <c r="J16" t="s">
        <v>86</v>
      </c>
      <c r="K16" t="s">
        <v>86</v>
      </c>
      <c r="L16" t="s">
        <v>86</v>
      </c>
      <c r="M16">
        <v>426</v>
      </c>
      <c r="N16">
        <v>135</v>
      </c>
      <c r="O16">
        <v>4</v>
      </c>
      <c r="P16">
        <v>7</v>
      </c>
      <c r="Q16">
        <v>36</v>
      </c>
      <c r="S16">
        <v>5</v>
      </c>
      <c r="T16">
        <v>87</v>
      </c>
      <c r="U16">
        <v>5</v>
      </c>
      <c r="V16">
        <v>2</v>
      </c>
      <c r="W16">
        <v>124</v>
      </c>
      <c r="X16">
        <v>1009</v>
      </c>
      <c r="Y16">
        <v>665</v>
      </c>
      <c r="Z16">
        <v>434</v>
      </c>
      <c r="AA16">
        <v>14558</v>
      </c>
      <c r="AB16">
        <v>53</v>
      </c>
      <c r="AC16">
        <v>2170</v>
      </c>
      <c r="AD16">
        <v>725</v>
      </c>
      <c r="AE16">
        <v>188</v>
      </c>
      <c r="AF16">
        <v>38.78</v>
      </c>
      <c r="AG16">
        <v>3.8</v>
      </c>
      <c r="AH16">
        <v>14</v>
      </c>
      <c r="AI16">
        <v>13</v>
      </c>
      <c r="AJ16">
        <v>186</v>
      </c>
      <c r="AK16">
        <v>34</v>
      </c>
      <c r="AL16" s="4">
        <f t="shared" si="0"/>
        <v>5.4705882352941178</v>
      </c>
      <c r="AM16">
        <v>27433</v>
      </c>
      <c r="AN16" s="5">
        <v>0.16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t="str">
        <f t="shared" si="1"/>
        <v>16/17</v>
      </c>
    </row>
    <row r="17" spans="2:46" x14ac:dyDescent="0.25">
      <c r="B17">
        <v>14</v>
      </c>
      <c r="C17" t="s">
        <v>9</v>
      </c>
      <c r="D17">
        <v>50</v>
      </c>
      <c r="E17">
        <v>63</v>
      </c>
      <c r="F17">
        <v>-13</v>
      </c>
      <c r="G17">
        <v>7</v>
      </c>
      <c r="H17">
        <v>77</v>
      </c>
      <c r="I17">
        <v>0</v>
      </c>
      <c r="J17" t="s">
        <v>86</v>
      </c>
      <c r="K17" t="s">
        <v>86</v>
      </c>
      <c r="L17" t="s">
        <v>86</v>
      </c>
      <c r="M17">
        <v>441</v>
      </c>
      <c r="N17">
        <v>137</v>
      </c>
      <c r="O17">
        <v>4</v>
      </c>
      <c r="P17">
        <v>13</v>
      </c>
      <c r="Q17">
        <v>48</v>
      </c>
      <c r="S17">
        <v>2</v>
      </c>
      <c r="T17">
        <v>57</v>
      </c>
      <c r="U17">
        <v>0</v>
      </c>
      <c r="V17">
        <v>2</v>
      </c>
      <c r="W17">
        <v>113</v>
      </c>
      <c r="X17">
        <v>1022</v>
      </c>
      <c r="Y17">
        <v>698</v>
      </c>
      <c r="Z17">
        <v>471</v>
      </c>
      <c r="AA17">
        <v>13543</v>
      </c>
      <c r="AB17">
        <v>20</v>
      </c>
      <c r="AC17">
        <v>2108</v>
      </c>
      <c r="AD17">
        <v>880</v>
      </c>
      <c r="AE17">
        <v>203</v>
      </c>
      <c r="AF17">
        <v>101.2</v>
      </c>
      <c r="AG17">
        <v>50.2</v>
      </c>
      <c r="AH17">
        <v>22</v>
      </c>
      <c r="AI17">
        <v>24</v>
      </c>
      <c r="AJ17">
        <v>228.43</v>
      </c>
      <c r="AK17">
        <v>45</v>
      </c>
      <c r="AL17" s="4">
        <f t="shared" si="0"/>
        <v>5.0762222222222224</v>
      </c>
      <c r="AM17">
        <v>25161</v>
      </c>
      <c r="AN17" s="5">
        <v>0.08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t="str">
        <f t="shared" si="1"/>
        <v>16/17</v>
      </c>
    </row>
    <row r="18" spans="2:46" x14ac:dyDescent="0.25">
      <c r="B18">
        <v>15</v>
      </c>
      <c r="C18" t="s">
        <v>36</v>
      </c>
      <c r="D18">
        <v>45</v>
      </c>
      <c r="E18">
        <v>70</v>
      </c>
      <c r="F18">
        <v>-25</v>
      </c>
      <c r="G18">
        <v>8</v>
      </c>
      <c r="H18">
        <v>56</v>
      </c>
      <c r="I18">
        <v>0</v>
      </c>
      <c r="J18" t="s">
        <v>86</v>
      </c>
      <c r="K18" t="s">
        <v>86</v>
      </c>
      <c r="L18" t="s">
        <v>86</v>
      </c>
      <c r="M18">
        <v>403</v>
      </c>
      <c r="N18">
        <v>145</v>
      </c>
      <c r="O18">
        <v>3</v>
      </c>
      <c r="P18">
        <v>14</v>
      </c>
      <c r="Q18">
        <v>40</v>
      </c>
      <c r="S18">
        <v>5</v>
      </c>
      <c r="T18">
        <v>50</v>
      </c>
      <c r="U18">
        <v>5</v>
      </c>
      <c r="V18">
        <v>8</v>
      </c>
      <c r="W18">
        <v>109</v>
      </c>
      <c r="X18">
        <v>1039</v>
      </c>
      <c r="Y18">
        <v>634</v>
      </c>
      <c r="Z18">
        <v>399</v>
      </c>
      <c r="AA18">
        <v>16125</v>
      </c>
      <c r="AB18">
        <v>15</v>
      </c>
      <c r="AC18">
        <v>2494</v>
      </c>
      <c r="AD18">
        <v>867</v>
      </c>
      <c r="AE18">
        <v>196</v>
      </c>
      <c r="AF18">
        <v>58.1</v>
      </c>
      <c r="AG18">
        <v>49.3</v>
      </c>
      <c r="AH18">
        <v>21</v>
      </c>
      <c r="AI18">
        <v>17</v>
      </c>
      <c r="AJ18">
        <v>157.1</v>
      </c>
      <c r="AK18">
        <v>37</v>
      </c>
      <c r="AL18" s="4">
        <f t="shared" si="0"/>
        <v>4.2459459459459454</v>
      </c>
      <c r="AM18">
        <v>20619</v>
      </c>
      <c r="AN18" s="5">
        <v>0.12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t="str">
        <f t="shared" si="1"/>
        <v>16/17</v>
      </c>
    </row>
    <row r="19" spans="2:46" x14ac:dyDescent="0.25">
      <c r="B19">
        <v>16</v>
      </c>
      <c r="C19" t="s">
        <v>17</v>
      </c>
      <c r="D19">
        <v>39</v>
      </c>
      <c r="E19">
        <v>55</v>
      </c>
      <c r="F19">
        <v>-16</v>
      </c>
      <c r="G19">
        <v>10</v>
      </c>
      <c r="H19">
        <v>65</v>
      </c>
      <c r="I19">
        <v>2</v>
      </c>
      <c r="J19" t="s">
        <v>86</v>
      </c>
      <c r="K19" t="s">
        <v>86</v>
      </c>
      <c r="L19" t="s">
        <v>86</v>
      </c>
      <c r="M19">
        <v>388</v>
      </c>
      <c r="N19">
        <v>121</v>
      </c>
      <c r="O19">
        <v>6</v>
      </c>
      <c r="P19">
        <v>4</v>
      </c>
      <c r="Q19">
        <v>31</v>
      </c>
      <c r="S19">
        <v>8</v>
      </c>
      <c r="T19">
        <v>103</v>
      </c>
      <c r="U19">
        <v>2</v>
      </c>
      <c r="V19">
        <v>5</v>
      </c>
      <c r="W19">
        <v>153</v>
      </c>
      <c r="X19">
        <v>1237</v>
      </c>
      <c r="Y19">
        <v>639</v>
      </c>
      <c r="Z19">
        <v>428</v>
      </c>
      <c r="AA19">
        <v>12559</v>
      </c>
      <c r="AB19">
        <v>20</v>
      </c>
      <c r="AC19">
        <v>1894</v>
      </c>
      <c r="AD19">
        <v>676</v>
      </c>
      <c r="AE19">
        <v>149</v>
      </c>
      <c r="AF19">
        <v>45.6</v>
      </c>
      <c r="AG19">
        <v>1.2</v>
      </c>
      <c r="AH19">
        <v>27</v>
      </c>
      <c r="AI19">
        <v>26</v>
      </c>
      <c r="AJ19">
        <v>107.18</v>
      </c>
      <c r="AK19">
        <v>36</v>
      </c>
      <c r="AL19" s="4">
        <f t="shared" si="0"/>
        <v>2.9772222222222222</v>
      </c>
      <c r="AM19">
        <v>20558</v>
      </c>
      <c r="AN19" s="5">
        <v>0.31</v>
      </c>
      <c r="AO19" s="13">
        <v>0</v>
      </c>
      <c r="AP19" s="13">
        <v>1</v>
      </c>
      <c r="AQ19" s="13">
        <v>0</v>
      </c>
      <c r="AR19" s="13">
        <v>0</v>
      </c>
      <c r="AS19" s="13">
        <v>0</v>
      </c>
      <c r="AT19" t="str">
        <f t="shared" si="1"/>
        <v>16/17</v>
      </c>
    </row>
    <row r="20" spans="2:46" x14ac:dyDescent="0.25">
      <c r="B20">
        <v>17</v>
      </c>
      <c r="C20" t="s">
        <v>18</v>
      </c>
      <c r="D20">
        <v>40</v>
      </c>
      <c r="E20">
        <v>68</v>
      </c>
      <c r="F20">
        <v>-28</v>
      </c>
      <c r="G20">
        <v>7</v>
      </c>
      <c r="H20">
        <v>84</v>
      </c>
      <c r="I20">
        <v>5</v>
      </c>
      <c r="J20" t="s">
        <v>86</v>
      </c>
      <c r="K20" t="s">
        <v>86</v>
      </c>
      <c r="L20" t="s">
        <v>86</v>
      </c>
      <c r="M20">
        <v>424</v>
      </c>
      <c r="N20">
        <v>143</v>
      </c>
      <c r="O20">
        <v>3</v>
      </c>
      <c r="P20">
        <v>9</v>
      </c>
      <c r="Q20">
        <v>36</v>
      </c>
      <c r="S20">
        <v>4</v>
      </c>
      <c r="T20">
        <v>63</v>
      </c>
      <c r="U20">
        <v>2</v>
      </c>
      <c r="V20">
        <v>4</v>
      </c>
      <c r="W20">
        <v>119</v>
      </c>
      <c r="X20">
        <v>1016</v>
      </c>
      <c r="Y20">
        <v>618</v>
      </c>
      <c r="Z20">
        <v>514</v>
      </c>
      <c r="AA20">
        <v>14049</v>
      </c>
      <c r="AB20">
        <v>22</v>
      </c>
      <c r="AC20">
        <v>2200</v>
      </c>
      <c r="AD20">
        <v>696</v>
      </c>
      <c r="AE20">
        <v>164</v>
      </c>
      <c r="AF20">
        <v>70.45</v>
      </c>
      <c r="AG20">
        <v>58.1</v>
      </c>
      <c r="AH20">
        <v>29</v>
      </c>
      <c r="AI20">
        <v>32</v>
      </c>
      <c r="AJ20">
        <v>175.65</v>
      </c>
      <c r="AK20">
        <v>46</v>
      </c>
      <c r="AL20" s="4">
        <f t="shared" si="0"/>
        <v>3.8184782608695653</v>
      </c>
      <c r="AM20">
        <v>20571</v>
      </c>
      <c r="AN20" s="5">
        <v>0.21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t="str">
        <f t="shared" si="1"/>
        <v>16/17</v>
      </c>
    </row>
    <row r="21" spans="2:46" x14ac:dyDescent="0.25">
      <c r="B21">
        <v>18</v>
      </c>
      <c r="C21" t="s">
        <v>39</v>
      </c>
      <c r="D21">
        <v>37</v>
      </c>
      <c r="E21">
        <v>80</v>
      </c>
      <c r="F21">
        <v>-43</v>
      </c>
      <c r="G21">
        <v>5</v>
      </c>
      <c r="H21">
        <v>67</v>
      </c>
      <c r="I21">
        <v>5</v>
      </c>
      <c r="J21" t="s">
        <v>86</v>
      </c>
      <c r="K21" t="s">
        <v>86</v>
      </c>
      <c r="L21" t="s">
        <v>86</v>
      </c>
      <c r="M21">
        <v>396</v>
      </c>
      <c r="N21">
        <v>126</v>
      </c>
      <c r="O21">
        <v>3</v>
      </c>
      <c r="P21">
        <v>4</v>
      </c>
      <c r="Q21">
        <v>33</v>
      </c>
      <c r="S21">
        <v>4</v>
      </c>
      <c r="T21">
        <v>71</v>
      </c>
      <c r="U21">
        <v>5</v>
      </c>
      <c r="V21">
        <v>14</v>
      </c>
      <c r="W21">
        <v>134</v>
      </c>
      <c r="X21">
        <v>1110</v>
      </c>
      <c r="Y21">
        <v>637</v>
      </c>
      <c r="Z21">
        <v>403</v>
      </c>
      <c r="AA21">
        <v>15610</v>
      </c>
      <c r="AB21">
        <v>41</v>
      </c>
      <c r="AC21">
        <v>2490</v>
      </c>
      <c r="AD21">
        <v>748</v>
      </c>
      <c r="AE21">
        <v>179</v>
      </c>
      <c r="AF21">
        <v>40</v>
      </c>
      <c r="AG21">
        <v>28.9</v>
      </c>
      <c r="AH21">
        <v>26</v>
      </c>
      <c r="AI21">
        <v>16</v>
      </c>
      <c r="AJ21">
        <v>135.85</v>
      </c>
      <c r="AK21">
        <v>42</v>
      </c>
      <c r="AL21" s="4">
        <f t="shared" si="0"/>
        <v>3.2345238095238096</v>
      </c>
      <c r="AM21">
        <v>20761</v>
      </c>
      <c r="AN21" s="5">
        <v>0.33</v>
      </c>
      <c r="AO21" s="13">
        <v>0</v>
      </c>
      <c r="AP21" s="13">
        <v>1</v>
      </c>
      <c r="AQ21" s="13">
        <v>0</v>
      </c>
      <c r="AR21" s="13">
        <v>1</v>
      </c>
      <c r="AS21" s="13">
        <v>0</v>
      </c>
      <c r="AT21" t="str">
        <f t="shared" si="1"/>
        <v>16/17</v>
      </c>
    </row>
    <row r="22" spans="2:46" x14ac:dyDescent="0.25">
      <c r="B22">
        <v>19</v>
      </c>
      <c r="C22" t="s">
        <v>40</v>
      </c>
      <c r="D22">
        <v>27</v>
      </c>
      <c r="E22">
        <v>53</v>
      </c>
      <c r="F22">
        <v>-26</v>
      </c>
      <c r="G22">
        <v>11</v>
      </c>
      <c r="H22">
        <v>77</v>
      </c>
      <c r="I22">
        <v>1</v>
      </c>
      <c r="J22" t="s">
        <v>86</v>
      </c>
      <c r="K22" t="s">
        <v>86</v>
      </c>
      <c r="L22" t="s">
        <v>86</v>
      </c>
      <c r="M22">
        <v>349</v>
      </c>
      <c r="N22">
        <v>98</v>
      </c>
      <c r="O22">
        <v>2</v>
      </c>
      <c r="P22">
        <v>8</v>
      </c>
      <c r="Q22">
        <v>26</v>
      </c>
      <c r="S22">
        <v>1</v>
      </c>
      <c r="T22">
        <v>51</v>
      </c>
      <c r="U22">
        <v>0</v>
      </c>
      <c r="V22">
        <v>5</v>
      </c>
      <c r="W22">
        <v>118</v>
      </c>
      <c r="X22">
        <v>1090</v>
      </c>
      <c r="Y22">
        <v>727</v>
      </c>
      <c r="Z22">
        <v>480</v>
      </c>
      <c r="AA22">
        <v>15736</v>
      </c>
      <c r="AB22">
        <v>37</v>
      </c>
      <c r="AC22">
        <v>2448</v>
      </c>
      <c r="AD22">
        <v>735</v>
      </c>
      <c r="AE22">
        <v>141</v>
      </c>
      <c r="AF22">
        <v>47.95</v>
      </c>
      <c r="AG22">
        <v>13.5</v>
      </c>
      <c r="AH22">
        <v>18</v>
      </c>
      <c r="AI22">
        <v>19</v>
      </c>
      <c r="AJ22">
        <v>128.80000000000001</v>
      </c>
      <c r="AK22">
        <v>35</v>
      </c>
      <c r="AL22" s="4">
        <f t="shared" si="0"/>
        <v>3.68</v>
      </c>
      <c r="AM22">
        <v>30449</v>
      </c>
      <c r="AN22" s="5">
        <v>0.19</v>
      </c>
      <c r="AO22" s="13">
        <v>0</v>
      </c>
      <c r="AP22" s="13">
        <v>1</v>
      </c>
      <c r="AQ22" s="13">
        <v>0</v>
      </c>
      <c r="AR22" s="13">
        <v>1</v>
      </c>
      <c r="AS22" s="13">
        <v>0</v>
      </c>
      <c r="AT22" t="str">
        <f t="shared" si="1"/>
        <v>16/17</v>
      </c>
    </row>
    <row r="23" spans="2:46" x14ac:dyDescent="0.25">
      <c r="B23">
        <v>20</v>
      </c>
      <c r="C23" t="s">
        <v>41</v>
      </c>
      <c r="D23">
        <v>29</v>
      </c>
      <c r="E23">
        <v>69</v>
      </c>
      <c r="F23">
        <v>-40</v>
      </c>
      <c r="G23">
        <v>6</v>
      </c>
      <c r="H23">
        <v>78</v>
      </c>
      <c r="I23">
        <v>4</v>
      </c>
      <c r="J23" t="s">
        <v>86</v>
      </c>
      <c r="K23" t="s">
        <v>86</v>
      </c>
      <c r="L23" t="s">
        <v>86</v>
      </c>
      <c r="M23">
        <v>388</v>
      </c>
      <c r="N23">
        <v>122</v>
      </c>
      <c r="O23">
        <v>5</v>
      </c>
      <c r="P23">
        <v>1</v>
      </c>
      <c r="Q23">
        <v>26</v>
      </c>
      <c r="S23">
        <v>3</v>
      </c>
      <c r="T23">
        <v>80</v>
      </c>
      <c r="U23">
        <v>2</v>
      </c>
      <c r="V23">
        <v>4</v>
      </c>
      <c r="W23">
        <v>179</v>
      </c>
      <c r="X23">
        <v>1173</v>
      </c>
      <c r="Y23">
        <v>630</v>
      </c>
      <c r="Z23">
        <v>437</v>
      </c>
      <c r="AA23">
        <v>12360</v>
      </c>
      <c r="AB23">
        <v>38</v>
      </c>
      <c r="AC23">
        <v>1882</v>
      </c>
      <c r="AD23">
        <v>633</v>
      </c>
      <c r="AE23">
        <v>159</v>
      </c>
      <c r="AF23">
        <v>41.9</v>
      </c>
      <c r="AG23">
        <v>23.77</v>
      </c>
      <c r="AH23">
        <v>25</v>
      </c>
      <c r="AI23">
        <v>23</v>
      </c>
      <c r="AJ23">
        <v>132</v>
      </c>
      <c r="AK23">
        <v>42</v>
      </c>
      <c r="AL23" s="4">
        <f t="shared" si="0"/>
        <v>3.1428571428571428</v>
      </c>
      <c r="AM23">
        <v>41287</v>
      </c>
      <c r="AN23" s="5">
        <v>7.0000000000000007E-2</v>
      </c>
      <c r="AO23" s="13">
        <v>0</v>
      </c>
      <c r="AP23" s="13">
        <v>0</v>
      </c>
      <c r="AQ23" s="13">
        <v>0</v>
      </c>
      <c r="AR23" s="13">
        <v>1</v>
      </c>
      <c r="AS23" s="13">
        <v>0</v>
      </c>
      <c r="AT23" t="str">
        <f t="shared" si="1"/>
        <v>16/17</v>
      </c>
    </row>
  </sheetData>
  <mergeCells count="5">
    <mergeCell ref="D2:L2"/>
    <mergeCell ref="M2:T2"/>
    <mergeCell ref="U2:Z2"/>
    <mergeCell ref="AA2:AE2"/>
    <mergeCell ref="AF2:A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9E20-DE88-6E40-B11E-364D197E4017}">
  <dimension ref="B2:AT23"/>
  <sheetViews>
    <sheetView topLeftCell="B1" zoomScale="80" zoomScaleNormal="80" workbookViewId="0">
      <pane xSplit="2" ySplit="3" topLeftCell="AG7" activePane="bottomRight" state="frozen"/>
      <selection activeCell="B1" sqref="B1"/>
      <selection pane="topRight" activeCell="D1" sqref="D1"/>
      <selection pane="bottomLeft" activeCell="B4" sqref="B4"/>
      <selection pane="bottomRight" activeCell="AL17" sqref="AL17"/>
    </sheetView>
  </sheetViews>
  <sheetFormatPr baseColWidth="10" defaultColWidth="11.125" defaultRowHeight="15.75" x14ac:dyDescent="0.25"/>
  <cols>
    <col min="2" max="3" width="22.125" bestFit="1" customWidth="1"/>
    <col min="4" max="4" width="11.875" bestFit="1" customWidth="1"/>
    <col min="5" max="5" width="14.125" bestFit="1" customWidth="1"/>
    <col min="6" max="6" width="16.875" bestFit="1" customWidth="1"/>
    <col min="7" max="7" width="15.125" bestFit="1" customWidth="1"/>
    <col min="8" max="8" width="16" bestFit="1" customWidth="1"/>
    <col min="9" max="9" width="12.625" bestFit="1" customWidth="1"/>
    <col min="10" max="11" width="4.875" bestFit="1" customWidth="1"/>
    <col min="12" max="12" width="7.125" bestFit="1" customWidth="1"/>
    <col min="13" max="13" width="5" bestFit="1" customWidth="1"/>
    <col min="14" max="14" width="9.5" bestFit="1" customWidth="1"/>
    <col min="15" max="15" width="11.625" bestFit="1" customWidth="1"/>
    <col min="16" max="16" width="12.625" bestFit="1" customWidth="1"/>
    <col min="17" max="17" width="17.375" bestFit="1" customWidth="1"/>
    <col min="18" max="18" width="16.125" bestFit="1" customWidth="1"/>
    <col min="19" max="19" width="17" bestFit="1" customWidth="1"/>
    <col min="20" max="20" width="13.625" bestFit="1" customWidth="1"/>
    <col min="21" max="21" width="9.375" bestFit="1" customWidth="1"/>
    <col min="22" max="22" width="17.625" bestFit="1" customWidth="1"/>
    <col min="23" max="23" width="7.5" bestFit="1" customWidth="1"/>
    <col min="24" max="24" width="8.375" bestFit="1" customWidth="1"/>
    <col min="25" max="25" width="7.875" bestFit="1" customWidth="1"/>
    <col min="26" max="26" width="5.875" bestFit="1" customWidth="1"/>
    <col min="27" max="27" width="9.625" bestFit="1" customWidth="1"/>
    <col min="28" max="28" width="13" bestFit="1" customWidth="1"/>
    <col min="29" max="29" width="15.125" bestFit="1" customWidth="1"/>
    <col min="30" max="31" width="7.375" bestFit="1" customWidth="1"/>
    <col min="32" max="32" width="45.875" bestFit="1" customWidth="1"/>
    <col min="33" max="33" width="48.125" bestFit="1" customWidth="1"/>
    <col min="34" max="34" width="15.625" bestFit="1" customWidth="1"/>
    <col min="35" max="36" width="17.375" bestFit="1" customWidth="1"/>
    <col min="37" max="37" width="13.125" bestFit="1" customWidth="1"/>
    <col min="38" max="38" width="22.875" bestFit="1" customWidth="1"/>
    <col min="39" max="39" width="27" bestFit="1" customWidth="1"/>
    <col min="40" max="40" width="13.375" bestFit="1" customWidth="1"/>
  </cols>
  <sheetData>
    <row r="2" spans="2:46" x14ac:dyDescent="0.25">
      <c r="B2" t="s">
        <v>35</v>
      </c>
      <c r="D2" s="99" t="s">
        <v>79</v>
      </c>
      <c r="E2" s="99"/>
      <c r="F2" s="99"/>
      <c r="G2" s="99"/>
      <c r="H2" s="99"/>
      <c r="I2" s="99"/>
      <c r="J2" s="99"/>
      <c r="K2" s="99"/>
      <c r="L2" s="99"/>
      <c r="M2" s="100" t="s">
        <v>80</v>
      </c>
      <c r="N2" s="100"/>
      <c r="O2" s="100"/>
      <c r="P2" s="100"/>
      <c r="Q2" s="100"/>
      <c r="R2" s="100"/>
      <c r="S2" s="100"/>
      <c r="T2" s="100"/>
      <c r="U2" s="101" t="s">
        <v>81</v>
      </c>
      <c r="V2" s="101"/>
      <c r="W2" s="101"/>
      <c r="X2" s="101"/>
      <c r="Y2" s="101"/>
      <c r="Z2" s="101"/>
      <c r="AA2" s="102" t="s">
        <v>82</v>
      </c>
      <c r="AB2" s="102"/>
      <c r="AC2" s="102"/>
      <c r="AD2" s="102"/>
      <c r="AE2" s="102"/>
      <c r="AF2" s="103" t="s">
        <v>83</v>
      </c>
      <c r="AG2" s="103"/>
      <c r="AH2" s="103"/>
      <c r="AI2" s="103"/>
      <c r="AJ2" s="103"/>
      <c r="AK2" s="103"/>
      <c r="AL2" s="103"/>
      <c r="AM2" s="103"/>
      <c r="AN2" s="103"/>
      <c r="AO2" s="9"/>
      <c r="AP2" s="9"/>
      <c r="AQ2" s="9"/>
      <c r="AR2" s="9"/>
      <c r="AS2" s="9"/>
    </row>
    <row r="3" spans="2:46" x14ac:dyDescent="0.25">
      <c r="B3" t="s">
        <v>0</v>
      </c>
      <c r="C3" t="s">
        <v>24</v>
      </c>
      <c r="D3" t="s">
        <v>20</v>
      </c>
      <c r="E3" t="s">
        <v>42</v>
      </c>
      <c r="F3" t="s">
        <v>43</v>
      </c>
      <c r="G3" t="s">
        <v>21</v>
      </c>
      <c r="H3" t="s">
        <v>22</v>
      </c>
      <c r="I3" t="s">
        <v>23</v>
      </c>
      <c r="J3" t="s">
        <v>46</v>
      </c>
      <c r="K3" t="s">
        <v>47</v>
      </c>
      <c r="L3" t="s">
        <v>53</v>
      </c>
      <c r="M3" t="s">
        <v>55</v>
      </c>
      <c r="N3" t="s">
        <v>54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63</v>
      </c>
      <c r="U3" t="s">
        <v>61</v>
      </c>
      <c r="V3" t="s">
        <v>62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44</v>
      </c>
      <c r="AG3" t="s">
        <v>45</v>
      </c>
      <c r="AH3" t="s">
        <v>73</v>
      </c>
      <c r="AI3" t="s">
        <v>74</v>
      </c>
      <c r="AJ3" t="s">
        <v>51</v>
      </c>
      <c r="AK3" t="s">
        <v>75</v>
      </c>
      <c r="AL3" t="s">
        <v>76</v>
      </c>
      <c r="AM3" t="s">
        <v>77</v>
      </c>
      <c r="AN3" t="s">
        <v>78</v>
      </c>
      <c r="AO3" t="s">
        <v>101</v>
      </c>
      <c r="AP3" t="s">
        <v>102</v>
      </c>
      <c r="AQ3" t="s">
        <v>104</v>
      </c>
      <c r="AR3" t="s">
        <v>105</v>
      </c>
      <c r="AS3" t="s">
        <v>106</v>
      </c>
      <c r="AT3" t="s">
        <v>92</v>
      </c>
    </row>
    <row r="4" spans="2:46" x14ac:dyDescent="0.25">
      <c r="B4">
        <v>1</v>
      </c>
      <c r="C4" t="s">
        <v>25</v>
      </c>
      <c r="D4">
        <v>106</v>
      </c>
      <c r="E4">
        <v>27</v>
      </c>
      <c r="F4">
        <v>79</v>
      </c>
      <c r="G4">
        <v>18</v>
      </c>
      <c r="H4">
        <v>59</v>
      </c>
      <c r="I4">
        <v>2</v>
      </c>
      <c r="J4">
        <v>78.599999999999994</v>
      </c>
      <c r="K4">
        <v>23.8</v>
      </c>
      <c r="L4">
        <v>27.400000000000006</v>
      </c>
      <c r="M4">
        <v>656</v>
      </c>
      <c r="N4">
        <v>656</v>
      </c>
      <c r="O4">
        <v>6</v>
      </c>
      <c r="P4">
        <v>12</v>
      </c>
      <c r="Q4">
        <v>93</v>
      </c>
      <c r="R4">
        <v>13</v>
      </c>
      <c r="S4">
        <v>4</v>
      </c>
      <c r="T4">
        <v>67</v>
      </c>
      <c r="U4">
        <v>2</v>
      </c>
      <c r="V4">
        <v>2</v>
      </c>
      <c r="W4">
        <v>58</v>
      </c>
      <c r="X4">
        <v>620</v>
      </c>
      <c r="Y4">
        <v>195</v>
      </c>
      <c r="Z4">
        <v>344</v>
      </c>
      <c r="AA4">
        <v>26164</v>
      </c>
      <c r="AB4">
        <v>118</v>
      </c>
      <c r="AC4">
        <v>4546</v>
      </c>
      <c r="AD4">
        <v>691</v>
      </c>
      <c r="AE4">
        <v>284</v>
      </c>
      <c r="AF4">
        <v>317.5</v>
      </c>
      <c r="AG4">
        <v>91.35</v>
      </c>
      <c r="AH4">
        <v>31</v>
      </c>
      <c r="AI4">
        <v>32</v>
      </c>
      <c r="AJ4">
        <v>1010</v>
      </c>
      <c r="AK4">
        <v>32</v>
      </c>
      <c r="AL4" s="8">
        <f>AJ4/AK4</f>
        <v>31.5625</v>
      </c>
      <c r="AM4">
        <v>54070</v>
      </c>
      <c r="AN4" s="5">
        <v>0.06</v>
      </c>
      <c r="AO4" s="13">
        <v>1</v>
      </c>
      <c r="AP4" s="13">
        <v>0</v>
      </c>
      <c r="AQ4" s="13">
        <v>1</v>
      </c>
      <c r="AR4" s="13">
        <v>0</v>
      </c>
      <c r="AS4" s="13">
        <v>1</v>
      </c>
      <c r="AT4" t="s">
        <v>96</v>
      </c>
    </row>
    <row r="5" spans="2:46" x14ac:dyDescent="0.25">
      <c r="B5">
        <v>2</v>
      </c>
      <c r="C5" s="7" t="s">
        <v>4</v>
      </c>
      <c r="D5">
        <v>68</v>
      </c>
      <c r="E5">
        <v>28</v>
      </c>
      <c r="F5">
        <v>40</v>
      </c>
      <c r="G5">
        <v>19</v>
      </c>
      <c r="H5">
        <v>64</v>
      </c>
      <c r="I5">
        <v>1</v>
      </c>
      <c r="J5">
        <v>55.7</v>
      </c>
      <c r="K5">
        <v>40.700000000000003</v>
      </c>
      <c r="L5">
        <v>12.299999999999997</v>
      </c>
      <c r="M5">
        <v>509</v>
      </c>
      <c r="N5">
        <v>509</v>
      </c>
      <c r="O5">
        <v>1</v>
      </c>
      <c r="P5">
        <v>12</v>
      </c>
      <c r="Q5">
        <v>56</v>
      </c>
      <c r="R5">
        <v>13</v>
      </c>
      <c r="S5">
        <v>4</v>
      </c>
      <c r="T5">
        <v>88</v>
      </c>
      <c r="U5">
        <v>2</v>
      </c>
      <c r="V5">
        <v>1</v>
      </c>
      <c r="W5">
        <v>117</v>
      </c>
      <c r="X5">
        <v>926</v>
      </c>
      <c r="Y5">
        <v>173</v>
      </c>
      <c r="Z5">
        <v>405</v>
      </c>
      <c r="AA5">
        <v>17765</v>
      </c>
      <c r="AB5">
        <v>85</v>
      </c>
      <c r="AC5">
        <v>2878</v>
      </c>
      <c r="AD5">
        <v>753</v>
      </c>
      <c r="AE5">
        <v>220</v>
      </c>
      <c r="AF5">
        <v>198.4</v>
      </c>
      <c r="AG5">
        <v>45.5</v>
      </c>
      <c r="AH5">
        <v>13</v>
      </c>
      <c r="AI5">
        <v>11</v>
      </c>
      <c r="AJ5">
        <v>849.5</v>
      </c>
      <c r="AK5">
        <v>35</v>
      </c>
      <c r="AL5" s="8">
        <f t="shared" ref="AL5:AL23" si="0">AJ5/AK5</f>
        <v>24.271428571428572</v>
      </c>
      <c r="AM5">
        <v>74976</v>
      </c>
      <c r="AN5" s="5">
        <v>0.24</v>
      </c>
      <c r="AO5" s="13">
        <v>1</v>
      </c>
      <c r="AP5" s="13">
        <v>0</v>
      </c>
      <c r="AQ5" s="13">
        <v>1</v>
      </c>
      <c r="AR5" s="13">
        <v>0</v>
      </c>
      <c r="AS5" s="13">
        <v>1</v>
      </c>
      <c r="AT5" t="str">
        <f>AT4</f>
        <v>17/18</v>
      </c>
    </row>
    <row r="6" spans="2:46" x14ac:dyDescent="0.25">
      <c r="B6">
        <v>3</v>
      </c>
      <c r="C6" t="s">
        <v>3</v>
      </c>
      <c r="D6">
        <v>74</v>
      </c>
      <c r="E6">
        <v>36</v>
      </c>
      <c r="F6">
        <v>38</v>
      </c>
      <c r="G6">
        <v>16</v>
      </c>
      <c r="H6">
        <v>50</v>
      </c>
      <c r="I6">
        <v>2</v>
      </c>
      <c r="J6">
        <v>64.7</v>
      </c>
      <c r="K6">
        <v>33.9</v>
      </c>
      <c r="L6">
        <v>9.2999999999999972</v>
      </c>
      <c r="M6">
        <v>620</v>
      </c>
      <c r="N6">
        <v>620</v>
      </c>
      <c r="O6">
        <v>2</v>
      </c>
      <c r="P6">
        <v>11</v>
      </c>
      <c r="Q6">
        <v>64</v>
      </c>
      <c r="R6">
        <v>11</v>
      </c>
      <c r="S6">
        <v>8</v>
      </c>
      <c r="T6">
        <v>88</v>
      </c>
      <c r="U6">
        <v>1</v>
      </c>
      <c r="V6">
        <v>3</v>
      </c>
      <c r="W6">
        <v>89</v>
      </c>
      <c r="X6">
        <v>878</v>
      </c>
      <c r="Y6">
        <v>212</v>
      </c>
      <c r="Z6">
        <v>384</v>
      </c>
      <c r="AA6">
        <v>19284</v>
      </c>
      <c r="AB6">
        <v>83</v>
      </c>
      <c r="AC6">
        <v>3176</v>
      </c>
      <c r="AD6">
        <v>825</v>
      </c>
      <c r="AE6">
        <v>246</v>
      </c>
      <c r="AF6">
        <v>123.5</v>
      </c>
      <c r="AG6">
        <v>103.8</v>
      </c>
      <c r="AH6">
        <v>14</v>
      </c>
      <c r="AI6">
        <v>11</v>
      </c>
      <c r="AJ6">
        <v>829.6</v>
      </c>
      <c r="AK6">
        <v>34</v>
      </c>
      <c r="AL6" s="8">
        <f t="shared" si="0"/>
        <v>24.400000000000002</v>
      </c>
      <c r="AM6">
        <v>67953</v>
      </c>
      <c r="AN6" s="5">
        <v>0.12</v>
      </c>
      <c r="AO6" s="13">
        <v>1</v>
      </c>
      <c r="AP6" s="13">
        <v>0</v>
      </c>
      <c r="AQ6" s="13">
        <v>1</v>
      </c>
      <c r="AR6" s="13">
        <v>0</v>
      </c>
      <c r="AS6" s="13">
        <v>1</v>
      </c>
      <c r="AT6" t="str">
        <f t="shared" ref="AT6:AT23" si="1">AT5</f>
        <v>17/18</v>
      </c>
    </row>
    <row r="7" spans="2:46" x14ac:dyDescent="0.25">
      <c r="B7">
        <v>4</v>
      </c>
      <c r="C7" t="s">
        <v>1</v>
      </c>
      <c r="D7">
        <v>84</v>
      </c>
      <c r="E7">
        <v>38</v>
      </c>
      <c r="F7">
        <v>46</v>
      </c>
      <c r="G7">
        <v>17</v>
      </c>
      <c r="H7">
        <v>44</v>
      </c>
      <c r="I7">
        <v>1</v>
      </c>
      <c r="J7">
        <v>72.900000000000006</v>
      </c>
      <c r="K7">
        <v>33.799999999999997</v>
      </c>
      <c r="L7">
        <v>11.099999999999994</v>
      </c>
      <c r="M7">
        <v>635</v>
      </c>
      <c r="N7">
        <v>635</v>
      </c>
      <c r="O7">
        <v>2</v>
      </c>
      <c r="P7">
        <v>12</v>
      </c>
      <c r="Q7">
        <v>75</v>
      </c>
      <c r="R7">
        <v>9</v>
      </c>
      <c r="S7">
        <v>9</v>
      </c>
      <c r="T7">
        <v>70</v>
      </c>
      <c r="U7">
        <v>0</v>
      </c>
      <c r="V7">
        <v>6</v>
      </c>
      <c r="W7">
        <v>64</v>
      </c>
      <c r="X7">
        <v>788</v>
      </c>
      <c r="Y7">
        <v>196</v>
      </c>
      <c r="Z7">
        <v>344</v>
      </c>
      <c r="AA7">
        <v>20367</v>
      </c>
      <c r="AB7">
        <v>106</v>
      </c>
      <c r="AC7">
        <v>3313</v>
      </c>
      <c r="AD7">
        <v>764</v>
      </c>
      <c r="AE7">
        <v>230</v>
      </c>
      <c r="AF7">
        <v>173.88</v>
      </c>
      <c r="AG7">
        <v>184.5</v>
      </c>
      <c r="AH7">
        <v>15</v>
      </c>
      <c r="AI7">
        <v>13</v>
      </c>
      <c r="AJ7">
        <v>857.5</v>
      </c>
      <c r="AK7">
        <v>35</v>
      </c>
      <c r="AL7" s="8">
        <f t="shared" si="0"/>
        <v>24.5</v>
      </c>
      <c r="AM7">
        <v>53049</v>
      </c>
      <c r="AN7" s="5">
        <v>0.27</v>
      </c>
      <c r="AO7" s="13">
        <v>1</v>
      </c>
      <c r="AP7" s="13">
        <v>0</v>
      </c>
      <c r="AQ7" s="13">
        <v>1</v>
      </c>
      <c r="AR7" s="13">
        <v>0</v>
      </c>
      <c r="AS7" s="13">
        <v>1</v>
      </c>
      <c r="AT7" t="str">
        <f t="shared" si="1"/>
        <v>17/18</v>
      </c>
    </row>
    <row r="8" spans="2:46" x14ac:dyDescent="0.25">
      <c r="B8">
        <v>5</v>
      </c>
      <c r="C8" t="s">
        <v>2</v>
      </c>
      <c r="D8">
        <v>62</v>
      </c>
      <c r="E8">
        <v>38</v>
      </c>
      <c r="F8">
        <v>24</v>
      </c>
      <c r="G8">
        <v>16</v>
      </c>
      <c r="H8">
        <v>42</v>
      </c>
      <c r="I8">
        <v>4</v>
      </c>
      <c r="J8">
        <v>54.4</v>
      </c>
      <c r="K8">
        <v>33.799999999999997</v>
      </c>
      <c r="L8">
        <v>7.6000000000000014</v>
      </c>
      <c r="M8">
        <v>603</v>
      </c>
      <c r="N8">
        <v>603</v>
      </c>
      <c r="O8">
        <v>3</v>
      </c>
      <c r="P8">
        <v>17</v>
      </c>
      <c r="Q8">
        <v>52</v>
      </c>
      <c r="R8">
        <v>10</v>
      </c>
      <c r="S8">
        <v>1</v>
      </c>
      <c r="T8">
        <v>108</v>
      </c>
      <c r="U8">
        <v>2</v>
      </c>
      <c r="V8">
        <v>2</v>
      </c>
      <c r="W8">
        <v>81</v>
      </c>
      <c r="X8">
        <v>842</v>
      </c>
      <c r="Y8">
        <v>208</v>
      </c>
      <c r="Z8">
        <v>363</v>
      </c>
      <c r="AA8">
        <v>18967</v>
      </c>
      <c r="AB8">
        <v>70</v>
      </c>
      <c r="AC8">
        <v>3019</v>
      </c>
      <c r="AD8">
        <v>755</v>
      </c>
      <c r="AE8">
        <v>230</v>
      </c>
      <c r="AF8">
        <v>260.5</v>
      </c>
      <c r="AG8">
        <v>194.6</v>
      </c>
      <c r="AH8">
        <v>40</v>
      </c>
      <c r="AI8">
        <v>31</v>
      </c>
      <c r="AJ8">
        <v>884.25</v>
      </c>
      <c r="AK8">
        <v>46</v>
      </c>
      <c r="AL8" s="8">
        <f t="shared" si="0"/>
        <v>19.222826086956523</v>
      </c>
      <c r="AM8">
        <v>41282</v>
      </c>
      <c r="AN8" s="5">
        <v>7.0000000000000007E-2</v>
      </c>
      <c r="AO8" s="13">
        <v>1</v>
      </c>
      <c r="AP8" s="13">
        <v>0</v>
      </c>
      <c r="AQ8" s="13">
        <v>0</v>
      </c>
      <c r="AR8" s="13">
        <v>0</v>
      </c>
      <c r="AS8" s="13">
        <v>1</v>
      </c>
      <c r="AT8" t="str">
        <f t="shared" si="1"/>
        <v>17/18</v>
      </c>
    </row>
    <row r="9" spans="2:46" x14ac:dyDescent="0.25">
      <c r="B9">
        <v>6</v>
      </c>
      <c r="C9" t="s">
        <v>6</v>
      </c>
      <c r="D9">
        <v>74</v>
      </c>
      <c r="E9">
        <v>51</v>
      </c>
      <c r="F9">
        <v>23</v>
      </c>
      <c r="G9">
        <v>13</v>
      </c>
      <c r="H9">
        <v>57</v>
      </c>
      <c r="I9">
        <v>2</v>
      </c>
      <c r="J9">
        <v>68.3</v>
      </c>
      <c r="K9">
        <v>47.8</v>
      </c>
      <c r="L9">
        <v>5.7000000000000028</v>
      </c>
      <c r="M9">
        <v>589</v>
      </c>
      <c r="N9">
        <v>589</v>
      </c>
      <c r="O9">
        <v>4</v>
      </c>
      <c r="P9">
        <v>13</v>
      </c>
      <c r="Q9">
        <v>68</v>
      </c>
      <c r="R9">
        <v>7</v>
      </c>
      <c r="S9">
        <v>0</v>
      </c>
      <c r="T9">
        <v>89</v>
      </c>
      <c r="U9">
        <v>0</v>
      </c>
      <c r="V9">
        <v>6</v>
      </c>
      <c r="W9">
        <v>94</v>
      </c>
      <c r="X9">
        <v>879</v>
      </c>
      <c r="Y9">
        <v>218</v>
      </c>
      <c r="Z9">
        <v>383</v>
      </c>
      <c r="AA9">
        <v>20878</v>
      </c>
      <c r="AB9">
        <v>117</v>
      </c>
      <c r="AC9">
        <v>3089</v>
      </c>
      <c r="AD9">
        <v>572</v>
      </c>
      <c r="AE9">
        <v>225</v>
      </c>
      <c r="AF9">
        <v>152.85</v>
      </c>
      <c r="AG9">
        <v>162</v>
      </c>
      <c r="AH9">
        <v>10</v>
      </c>
      <c r="AI9">
        <v>16</v>
      </c>
      <c r="AJ9">
        <v>694</v>
      </c>
      <c r="AK9">
        <v>45</v>
      </c>
      <c r="AL9" s="8">
        <f t="shared" si="0"/>
        <v>15.422222222222222</v>
      </c>
      <c r="AM9">
        <v>59323</v>
      </c>
      <c r="AN9" s="5">
        <v>0.34</v>
      </c>
      <c r="AO9" s="13">
        <v>1</v>
      </c>
      <c r="AP9" s="13">
        <v>0</v>
      </c>
      <c r="AQ9" s="13">
        <v>0</v>
      </c>
      <c r="AR9" s="13">
        <v>0</v>
      </c>
      <c r="AS9" s="13">
        <v>1</v>
      </c>
      <c r="AT9" t="str">
        <f t="shared" si="1"/>
        <v>17/18</v>
      </c>
    </row>
    <row r="10" spans="2:46" x14ac:dyDescent="0.25">
      <c r="B10">
        <v>7</v>
      </c>
      <c r="C10" t="s">
        <v>17</v>
      </c>
      <c r="D10">
        <v>36</v>
      </c>
      <c r="E10">
        <v>39</v>
      </c>
      <c r="F10">
        <v>-3</v>
      </c>
      <c r="G10">
        <v>12</v>
      </c>
      <c r="H10">
        <v>65</v>
      </c>
      <c r="I10">
        <v>0</v>
      </c>
      <c r="J10">
        <v>32.299999999999997</v>
      </c>
      <c r="K10">
        <v>51.2</v>
      </c>
      <c r="L10">
        <v>3.7000000000000028</v>
      </c>
      <c r="M10">
        <v>378</v>
      </c>
      <c r="N10">
        <v>378</v>
      </c>
      <c r="O10">
        <v>0</v>
      </c>
      <c r="P10">
        <v>10</v>
      </c>
      <c r="Q10">
        <v>32</v>
      </c>
      <c r="R10">
        <v>4</v>
      </c>
      <c r="S10">
        <v>0</v>
      </c>
      <c r="T10">
        <v>100</v>
      </c>
      <c r="U10">
        <v>1</v>
      </c>
      <c r="V10">
        <v>5</v>
      </c>
      <c r="W10">
        <v>121</v>
      </c>
      <c r="X10">
        <v>1300</v>
      </c>
      <c r="Y10">
        <v>204</v>
      </c>
      <c r="Z10">
        <v>350</v>
      </c>
      <c r="AA10">
        <v>10524</v>
      </c>
      <c r="AB10">
        <v>18</v>
      </c>
      <c r="AC10">
        <v>2245</v>
      </c>
      <c r="AD10">
        <v>707</v>
      </c>
      <c r="AE10">
        <v>167</v>
      </c>
      <c r="AF10">
        <v>35.74</v>
      </c>
      <c r="AG10">
        <v>50</v>
      </c>
      <c r="AH10">
        <v>18</v>
      </c>
      <c r="AI10">
        <v>21</v>
      </c>
      <c r="AJ10">
        <v>169.3</v>
      </c>
      <c r="AK10">
        <v>30</v>
      </c>
      <c r="AL10" s="8">
        <f t="shared" si="0"/>
        <v>5.6433333333333335</v>
      </c>
      <c r="AM10">
        <v>20688</v>
      </c>
      <c r="AN10" s="5">
        <v>0.01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t="str">
        <f t="shared" si="1"/>
        <v>17/18</v>
      </c>
    </row>
    <row r="11" spans="2:46" x14ac:dyDescent="0.25">
      <c r="B11">
        <v>8</v>
      </c>
      <c r="C11" t="s">
        <v>15</v>
      </c>
      <c r="D11">
        <v>44</v>
      </c>
      <c r="E11">
        <v>58</v>
      </c>
      <c r="F11">
        <v>-14</v>
      </c>
      <c r="G11">
        <v>10</v>
      </c>
      <c r="H11">
        <v>51</v>
      </c>
      <c r="I11">
        <v>3</v>
      </c>
      <c r="J11">
        <v>40.5</v>
      </c>
      <c r="K11">
        <v>52.4</v>
      </c>
      <c r="L11">
        <v>3.5</v>
      </c>
      <c r="M11">
        <v>351</v>
      </c>
      <c r="N11">
        <v>351</v>
      </c>
      <c r="O11">
        <v>5</v>
      </c>
      <c r="P11">
        <v>8</v>
      </c>
      <c r="Q11">
        <v>36</v>
      </c>
      <c r="R11">
        <v>8</v>
      </c>
      <c r="S11">
        <v>2</v>
      </c>
      <c r="T11">
        <v>82</v>
      </c>
      <c r="U11">
        <v>0</v>
      </c>
      <c r="V11">
        <v>5</v>
      </c>
      <c r="W11">
        <v>119</v>
      </c>
      <c r="X11">
        <v>1308</v>
      </c>
      <c r="Y11">
        <v>223</v>
      </c>
      <c r="Z11">
        <v>460</v>
      </c>
      <c r="AA11">
        <v>11953</v>
      </c>
      <c r="AB11">
        <v>25</v>
      </c>
      <c r="AC11">
        <v>2212</v>
      </c>
      <c r="AD11">
        <v>629</v>
      </c>
      <c r="AE11">
        <v>150</v>
      </c>
      <c r="AF11">
        <v>203.2</v>
      </c>
      <c r="AG11">
        <v>126.38</v>
      </c>
      <c r="AH11">
        <v>23</v>
      </c>
      <c r="AI11">
        <v>20</v>
      </c>
      <c r="AJ11">
        <v>381.25</v>
      </c>
      <c r="AK11">
        <v>48</v>
      </c>
      <c r="AL11" s="8">
        <f t="shared" si="0"/>
        <v>7.942708333333333</v>
      </c>
      <c r="AM11">
        <v>38797</v>
      </c>
      <c r="AN11" s="5">
        <v>0.26</v>
      </c>
      <c r="AO11" s="13">
        <v>1</v>
      </c>
      <c r="AP11" s="13">
        <v>0</v>
      </c>
      <c r="AQ11" s="13">
        <v>0</v>
      </c>
      <c r="AR11" s="13">
        <v>0</v>
      </c>
      <c r="AS11" s="13">
        <v>0</v>
      </c>
      <c r="AT11" t="str">
        <f t="shared" si="1"/>
        <v>17/18</v>
      </c>
    </row>
    <row r="12" spans="2:46" x14ac:dyDescent="0.25">
      <c r="B12">
        <v>9</v>
      </c>
      <c r="C12" t="s">
        <v>7</v>
      </c>
      <c r="D12">
        <v>56</v>
      </c>
      <c r="E12">
        <v>60</v>
      </c>
      <c r="F12">
        <v>-4</v>
      </c>
      <c r="G12">
        <v>9</v>
      </c>
      <c r="H12">
        <v>52</v>
      </c>
      <c r="I12">
        <v>5</v>
      </c>
      <c r="J12">
        <v>50</v>
      </c>
      <c r="K12">
        <v>48.1</v>
      </c>
      <c r="L12">
        <v>6</v>
      </c>
      <c r="M12">
        <v>417</v>
      </c>
      <c r="N12">
        <v>417</v>
      </c>
      <c r="O12">
        <v>5</v>
      </c>
      <c r="P12">
        <v>9</v>
      </c>
      <c r="Q12">
        <v>49</v>
      </c>
      <c r="R12">
        <v>7</v>
      </c>
      <c r="S12">
        <v>7</v>
      </c>
      <c r="T12">
        <v>92</v>
      </c>
      <c r="U12">
        <v>2</v>
      </c>
      <c r="V12">
        <v>4</v>
      </c>
      <c r="W12">
        <v>104</v>
      </c>
      <c r="X12">
        <v>1007</v>
      </c>
      <c r="Y12">
        <v>208</v>
      </c>
      <c r="Z12">
        <v>364</v>
      </c>
      <c r="AA12">
        <v>12357</v>
      </c>
      <c r="AB12">
        <v>63</v>
      </c>
      <c r="AC12">
        <v>2094</v>
      </c>
      <c r="AD12">
        <v>744</v>
      </c>
      <c r="AE12">
        <v>203</v>
      </c>
      <c r="AF12">
        <v>83.85</v>
      </c>
      <c r="AG12">
        <v>50.1</v>
      </c>
      <c r="AH12">
        <v>14</v>
      </c>
      <c r="AI12">
        <v>13</v>
      </c>
      <c r="AJ12">
        <v>304.25</v>
      </c>
      <c r="AK12">
        <v>34</v>
      </c>
      <c r="AL12" s="8">
        <f t="shared" si="0"/>
        <v>8.9485294117647065</v>
      </c>
      <c r="AM12">
        <v>31583</v>
      </c>
      <c r="AN12" s="5">
        <v>0.09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t="str">
        <f t="shared" si="1"/>
        <v>17/18</v>
      </c>
    </row>
    <row r="13" spans="2:46" x14ac:dyDescent="0.25">
      <c r="B13">
        <v>10</v>
      </c>
      <c r="C13" t="s">
        <v>12</v>
      </c>
      <c r="D13">
        <v>39</v>
      </c>
      <c r="E13">
        <v>47</v>
      </c>
      <c r="F13">
        <v>-8</v>
      </c>
      <c r="G13">
        <v>9</v>
      </c>
      <c r="H13">
        <v>52</v>
      </c>
      <c r="I13">
        <v>2</v>
      </c>
      <c r="J13">
        <v>41.6</v>
      </c>
      <c r="K13">
        <v>52.4</v>
      </c>
      <c r="L13">
        <v>-2.6000000000000014</v>
      </c>
      <c r="M13">
        <v>450</v>
      </c>
      <c r="N13">
        <v>450</v>
      </c>
      <c r="O13">
        <v>0</v>
      </c>
      <c r="P13">
        <v>7</v>
      </c>
      <c r="Q13">
        <v>34</v>
      </c>
      <c r="R13">
        <v>5</v>
      </c>
      <c r="S13">
        <v>5</v>
      </c>
      <c r="T13">
        <v>63</v>
      </c>
      <c r="U13">
        <v>3</v>
      </c>
      <c r="V13">
        <v>6</v>
      </c>
      <c r="W13">
        <v>102</v>
      </c>
      <c r="X13">
        <v>1219</v>
      </c>
      <c r="Y13">
        <v>221</v>
      </c>
      <c r="Z13">
        <v>409</v>
      </c>
      <c r="AA13">
        <v>11071</v>
      </c>
      <c r="AB13">
        <v>67</v>
      </c>
      <c r="AC13">
        <v>2018</v>
      </c>
      <c r="AD13">
        <v>616</v>
      </c>
      <c r="AE13">
        <v>167</v>
      </c>
      <c r="AF13">
        <v>46.5</v>
      </c>
      <c r="AG13">
        <v>21.22</v>
      </c>
      <c r="AH13">
        <v>27</v>
      </c>
      <c r="AI13">
        <v>29</v>
      </c>
      <c r="AJ13">
        <v>208.28</v>
      </c>
      <c r="AK13">
        <v>37</v>
      </c>
      <c r="AL13" s="8">
        <f t="shared" si="0"/>
        <v>5.629189189189189</v>
      </c>
      <c r="AM13">
        <v>51992</v>
      </c>
      <c r="AN13" s="5">
        <v>0.18</v>
      </c>
      <c r="AO13" s="13">
        <v>0</v>
      </c>
      <c r="AP13" s="13">
        <v>1</v>
      </c>
      <c r="AQ13" s="13">
        <v>0</v>
      </c>
      <c r="AR13" s="13">
        <v>0</v>
      </c>
      <c r="AS13" s="13">
        <v>0</v>
      </c>
      <c r="AT13" t="str">
        <f t="shared" si="1"/>
        <v>17/18</v>
      </c>
    </row>
    <row r="14" spans="2:46" x14ac:dyDescent="0.25">
      <c r="B14">
        <v>11</v>
      </c>
      <c r="C14" t="s">
        <v>9</v>
      </c>
      <c r="D14">
        <v>45</v>
      </c>
      <c r="E14">
        <v>55</v>
      </c>
      <c r="F14">
        <v>-10</v>
      </c>
      <c r="G14">
        <v>9</v>
      </c>
      <c r="H14">
        <v>72</v>
      </c>
      <c r="I14">
        <v>0</v>
      </c>
      <c r="J14">
        <v>53.5</v>
      </c>
      <c r="K14">
        <v>48.2</v>
      </c>
      <c r="L14">
        <v>-8.5</v>
      </c>
      <c r="M14">
        <v>466</v>
      </c>
      <c r="N14">
        <v>466</v>
      </c>
      <c r="O14">
        <v>8</v>
      </c>
      <c r="P14">
        <v>4</v>
      </c>
      <c r="Q14">
        <v>39</v>
      </c>
      <c r="R14">
        <v>6</v>
      </c>
      <c r="S14">
        <v>3</v>
      </c>
      <c r="T14">
        <v>56</v>
      </c>
      <c r="U14">
        <v>2</v>
      </c>
      <c r="V14">
        <v>2</v>
      </c>
      <c r="W14">
        <v>117</v>
      </c>
      <c r="X14">
        <v>1110</v>
      </c>
      <c r="Y14">
        <v>260</v>
      </c>
      <c r="Z14">
        <v>425</v>
      </c>
      <c r="AA14">
        <v>11809</v>
      </c>
      <c r="AB14">
        <v>30</v>
      </c>
      <c r="AC14">
        <v>2091</v>
      </c>
      <c r="AD14">
        <v>703</v>
      </c>
      <c r="AE14">
        <v>210</v>
      </c>
      <c r="AF14">
        <v>48.95</v>
      </c>
      <c r="AG14">
        <v>3</v>
      </c>
      <c r="AH14">
        <v>15</v>
      </c>
      <c r="AI14">
        <v>18</v>
      </c>
      <c r="AJ14">
        <v>220.73</v>
      </c>
      <c r="AK14">
        <v>41</v>
      </c>
      <c r="AL14" s="8">
        <f t="shared" si="0"/>
        <v>5.383658536585366</v>
      </c>
      <c r="AM14">
        <v>25063</v>
      </c>
      <c r="AN14" s="5">
        <v>0.16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t="str">
        <f t="shared" si="1"/>
        <v>17/18</v>
      </c>
    </row>
    <row r="15" spans="2:46" x14ac:dyDescent="0.25">
      <c r="B15">
        <v>12</v>
      </c>
      <c r="C15" t="s">
        <v>85</v>
      </c>
      <c r="D15">
        <v>45</v>
      </c>
      <c r="E15">
        <v>61</v>
      </c>
      <c r="F15">
        <v>-16</v>
      </c>
      <c r="G15">
        <v>6</v>
      </c>
      <c r="H15">
        <v>55</v>
      </c>
      <c r="I15">
        <v>1</v>
      </c>
      <c r="J15">
        <v>38.799999999999997</v>
      </c>
      <c r="K15">
        <v>59.2</v>
      </c>
      <c r="L15">
        <v>6.2000000000000028</v>
      </c>
      <c r="M15">
        <v>462</v>
      </c>
      <c r="N15">
        <v>462</v>
      </c>
      <c r="O15">
        <v>3</v>
      </c>
      <c r="P15">
        <v>4</v>
      </c>
      <c r="Q15">
        <v>38</v>
      </c>
      <c r="R15">
        <v>7</v>
      </c>
      <c r="S15">
        <v>0</v>
      </c>
      <c r="T15">
        <v>52</v>
      </c>
      <c r="U15">
        <v>1</v>
      </c>
      <c r="V15">
        <v>3</v>
      </c>
      <c r="W15">
        <v>109</v>
      </c>
      <c r="X15">
        <v>1129</v>
      </c>
      <c r="Y15">
        <v>198</v>
      </c>
      <c r="Z15">
        <v>339</v>
      </c>
      <c r="AA15">
        <v>13450</v>
      </c>
      <c r="AB15">
        <v>37</v>
      </c>
      <c r="AC15">
        <v>2257</v>
      </c>
      <c r="AD15">
        <v>707</v>
      </c>
      <c r="AE15">
        <v>218</v>
      </c>
      <c r="AF15">
        <v>34.299999999999997</v>
      </c>
      <c r="AG15">
        <v>0</v>
      </c>
      <c r="AH15">
        <v>15</v>
      </c>
      <c r="AI15">
        <v>14</v>
      </c>
      <c r="AJ15">
        <v>144.5</v>
      </c>
      <c r="AK15">
        <v>25</v>
      </c>
      <c r="AL15" s="8">
        <f t="shared" si="0"/>
        <v>5.78</v>
      </c>
      <c r="AM15">
        <v>10641</v>
      </c>
      <c r="AN15" s="5">
        <v>0.09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t="str">
        <f t="shared" si="1"/>
        <v>17/18</v>
      </c>
    </row>
    <row r="16" spans="2:46" x14ac:dyDescent="0.25">
      <c r="B16">
        <v>13</v>
      </c>
      <c r="C16" t="s">
        <v>5</v>
      </c>
      <c r="D16">
        <v>48</v>
      </c>
      <c r="E16">
        <v>68</v>
      </c>
      <c r="F16">
        <v>-20</v>
      </c>
      <c r="G16">
        <v>10</v>
      </c>
      <c r="H16">
        <v>73</v>
      </c>
      <c r="I16">
        <v>2</v>
      </c>
      <c r="J16">
        <v>36.700000000000003</v>
      </c>
      <c r="K16">
        <v>55.1</v>
      </c>
      <c r="L16">
        <v>11.299999999999997</v>
      </c>
      <c r="M16">
        <v>368</v>
      </c>
      <c r="N16">
        <v>368</v>
      </c>
      <c r="O16">
        <v>2</v>
      </c>
      <c r="P16">
        <v>6</v>
      </c>
      <c r="Q16">
        <v>39</v>
      </c>
      <c r="R16">
        <v>10</v>
      </c>
      <c r="S16">
        <v>4</v>
      </c>
      <c r="T16">
        <v>97</v>
      </c>
      <c r="U16">
        <v>1</v>
      </c>
      <c r="V16">
        <v>6</v>
      </c>
      <c r="W16">
        <v>119</v>
      </c>
      <c r="X16">
        <v>1085</v>
      </c>
      <c r="Y16">
        <v>235</v>
      </c>
      <c r="Z16">
        <v>379</v>
      </c>
      <c r="AA16">
        <v>11779</v>
      </c>
      <c r="AB16">
        <v>51</v>
      </c>
      <c r="AC16">
        <v>2177</v>
      </c>
      <c r="AD16">
        <v>733</v>
      </c>
      <c r="AE16">
        <v>161</v>
      </c>
      <c r="AF16">
        <v>56.8</v>
      </c>
      <c r="AG16">
        <v>69.02</v>
      </c>
      <c r="AH16">
        <v>15</v>
      </c>
      <c r="AI16">
        <v>25</v>
      </c>
      <c r="AJ16">
        <v>260.60000000000002</v>
      </c>
      <c r="AK16">
        <v>41</v>
      </c>
      <c r="AL16" s="8">
        <f t="shared" si="0"/>
        <v>6.3560975609756101</v>
      </c>
      <c r="AM16">
        <v>56885</v>
      </c>
      <c r="AN16" s="5">
        <v>0.12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t="str">
        <f t="shared" si="1"/>
        <v>17/18</v>
      </c>
    </row>
    <row r="17" spans="2:46" x14ac:dyDescent="0.25">
      <c r="B17">
        <v>14</v>
      </c>
      <c r="C17" t="s">
        <v>18</v>
      </c>
      <c r="D17">
        <v>44</v>
      </c>
      <c r="E17">
        <v>64</v>
      </c>
      <c r="F17">
        <v>-20</v>
      </c>
      <c r="G17">
        <v>9</v>
      </c>
      <c r="H17">
        <v>63</v>
      </c>
      <c r="I17">
        <v>4</v>
      </c>
      <c r="J17">
        <v>45</v>
      </c>
      <c r="K17">
        <v>51.8</v>
      </c>
      <c r="L17">
        <v>-1</v>
      </c>
      <c r="M17">
        <v>434</v>
      </c>
      <c r="N17">
        <v>434</v>
      </c>
      <c r="O17">
        <v>3</v>
      </c>
      <c r="P17">
        <v>9</v>
      </c>
      <c r="Q17">
        <v>38</v>
      </c>
      <c r="R17">
        <v>6</v>
      </c>
      <c r="S17">
        <v>1</v>
      </c>
      <c r="T17">
        <v>74</v>
      </c>
      <c r="U17">
        <v>1</v>
      </c>
      <c r="V17">
        <v>6</v>
      </c>
      <c r="W17">
        <v>93</v>
      </c>
      <c r="X17">
        <v>997</v>
      </c>
      <c r="Y17">
        <v>237</v>
      </c>
      <c r="Z17">
        <v>441</v>
      </c>
      <c r="AA17">
        <v>12758</v>
      </c>
      <c r="AB17">
        <v>27</v>
      </c>
      <c r="AC17">
        <v>2241</v>
      </c>
      <c r="AD17">
        <v>713</v>
      </c>
      <c r="AE17">
        <v>183</v>
      </c>
      <c r="AF17">
        <v>73.400000000000006</v>
      </c>
      <c r="AG17">
        <v>18.739999999999998</v>
      </c>
      <c r="AH17">
        <v>32</v>
      </c>
      <c r="AI17">
        <v>30</v>
      </c>
      <c r="AJ17">
        <v>196</v>
      </c>
      <c r="AK17">
        <v>37</v>
      </c>
      <c r="AL17" s="8">
        <f t="shared" si="0"/>
        <v>5.2972972972972974</v>
      </c>
      <c r="AM17">
        <v>20231</v>
      </c>
      <c r="AN17" s="5">
        <v>0.13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t="str">
        <f t="shared" si="1"/>
        <v>17/18</v>
      </c>
    </row>
    <row r="18" spans="2:46" x14ac:dyDescent="0.25">
      <c r="B18">
        <v>15</v>
      </c>
      <c r="C18" t="s">
        <v>14</v>
      </c>
      <c r="D18">
        <v>34</v>
      </c>
      <c r="E18">
        <v>54</v>
      </c>
      <c r="F18">
        <v>-20</v>
      </c>
      <c r="G18">
        <v>10</v>
      </c>
      <c r="H18">
        <v>54</v>
      </c>
      <c r="I18">
        <v>2</v>
      </c>
      <c r="J18">
        <v>37</v>
      </c>
      <c r="K18">
        <v>50.8</v>
      </c>
      <c r="L18">
        <v>-3</v>
      </c>
      <c r="M18">
        <v>377</v>
      </c>
      <c r="N18">
        <v>377</v>
      </c>
      <c r="O18">
        <v>5</v>
      </c>
      <c r="P18">
        <v>7</v>
      </c>
      <c r="Q18">
        <v>30</v>
      </c>
      <c r="R18">
        <v>4</v>
      </c>
      <c r="S18">
        <v>0</v>
      </c>
      <c r="T18">
        <v>98</v>
      </c>
      <c r="U18">
        <v>5</v>
      </c>
      <c r="V18">
        <v>3</v>
      </c>
      <c r="W18">
        <v>121</v>
      </c>
      <c r="X18">
        <v>1182</v>
      </c>
      <c r="Y18">
        <v>205</v>
      </c>
      <c r="Z18">
        <v>413</v>
      </c>
      <c r="AA18">
        <v>11838</v>
      </c>
      <c r="AB18">
        <v>32</v>
      </c>
      <c r="AC18">
        <v>2204</v>
      </c>
      <c r="AD18">
        <v>680</v>
      </c>
      <c r="AE18">
        <v>163</v>
      </c>
      <c r="AF18">
        <v>66.5</v>
      </c>
      <c r="AG18">
        <v>0.4</v>
      </c>
      <c r="AH18">
        <v>23</v>
      </c>
      <c r="AI18">
        <v>22</v>
      </c>
      <c r="AJ18">
        <v>148.19999999999999</v>
      </c>
      <c r="AK18">
        <v>39</v>
      </c>
      <c r="AL18" s="8">
        <f t="shared" si="0"/>
        <v>3.8</v>
      </c>
      <c r="AM18">
        <v>30403</v>
      </c>
      <c r="AN18" s="5">
        <v>0.25</v>
      </c>
      <c r="AO18" s="13">
        <v>0</v>
      </c>
      <c r="AP18" s="13">
        <v>1</v>
      </c>
      <c r="AQ18" s="13">
        <v>0</v>
      </c>
      <c r="AR18" s="13">
        <v>0</v>
      </c>
      <c r="AS18" s="13">
        <v>0</v>
      </c>
      <c r="AT18" t="str">
        <f t="shared" si="1"/>
        <v>17/18</v>
      </c>
    </row>
    <row r="19" spans="2:46" x14ac:dyDescent="0.25">
      <c r="B19">
        <v>16</v>
      </c>
      <c r="C19" t="s">
        <v>34</v>
      </c>
      <c r="D19">
        <v>28</v>
      </c>
      <c r="E19">
        <v>58</v>
      </c>
      <c r="F19">
        <v>-30</v>
      </c>
      <c r="G19">
        <v>10</v>
      </c>
      <c r="H19">
        <v>62</v>
      </c>
      <c r="I19">
        <v>3</v>
      </c>
      <c r="J19">
        <v>31.3</v>
      </c>
      <c r="K19">
        <v>48.5</v>
      </c>
      <c r="L19">
        <v>-3.3000000000000007</v>
      </c>
      <c r="M19">
        <v>360</v>
      </c>
      <c r="N19">
        <v>360</v>
      </c>
      <c r="O19">
        <v>2</v>
      </c>
      <c r="P19">
        <v>5</v>
      </c>
      <c r="Q19">
        <v>27</v>
      </c>
      <c r="R19">
        <v>1</v>
      </c>
      <c r="S19">
        <v>2</v>
      </c>
      <c r="T19">
        <v>67</v>
      </c>
      <c r="U19">
        <v>1</v>
      </c>
      <c r="V19">
        <v>6</v>
      </c>
      <c r="W19">
        <v>99</v>
      </c>
      <c r="X19">
        <v>1129</v>
      </c>
      <c r="Y19">
        <v>249</v>
      </c>
      <c r="Z19">
        <v>397</v>
      </c>
      <c r="AA19">
        <v>12036</v>
      </c>
      <c r="AB19">
        <v>26</v>
      </c>
      <c r="AC19">
        <v>2267</v>
      </c>
      <c r="AD19">
        <v>765</v>
      </c>
      <c r="AE19">
        <v>165</v>
      </c>
      <c r="AF19">
        <v>56.75</v>
      </c>
      <c r="AG19">
        <v>6.46</v>
      </c>
      <c r="AH19">
        <v>22</v>
      </c>
      <c r="AI19">
        <v>16</v>
      </c>
      <c r="AJ19">
        <v>106.05</v>
      </c>
      <c r="AK19">
        <v>35</v>
      </c>
      <c r="AL19" s="8">
        <f t="shared" si="0"/>
        <v>3.03</v>
      </c>
      <c r="AM19">
        <v>24040</v>
      </c>
      <c r="AN19" s="5">
        <v>0.14000000000000001</v>
      </c>
      <c r="AO19" s="13">
        <v>0</v>
      </c>
      <c r="AP19" s="13">
        <v>1</v>
      </c>
      <c r="AQ19" s="13">
        <v>0</v>
      </c>
      <c r="AR19" s="13">
        <v>0</v>
      </c>
      <c r="AS19" s="13">
        <v>0</v>
      </c>
      <c r="AT19" t="str">
        <f t="shared" si="1"/>
        <v>17/18</v>
      </c>
    </row>
    <row r="20" spans="2:46" x14ac:dyDescent="0.25">
      <c r="B20">
        <v>17</v>
      </c>
      <c r="C20" t="s">
        <v>11</v>
      </c>
      <c r="D20">
        <v>37</v>
      </c>
      <c r="E20">
        <v>56</v>
      </c>
      <c r="F20">
        <v>-19</v>
      </c>
      <c r="G20">
        <v>8</v>
      </c>
      <c r="H20">
        <v>63</v>
      </c>
      <c r="I20">
        <v>2</v>
      </c>
      <c r="J20">
        <v>39.9</v>
      </c>
      <c r="K20">
        <v>45.2</v>
      </c>
      <c r="L20">
        <v>-2.8999999999999986</v>
      </c>
      <c r="M20">
        <v>447</v>
      </c>
      <c r="N20">
        <v>447</v>
      </c>
      <c r="O20">
        <v>3</v>
      </c>
      <c r="P20">
        <v>7</v>
      </c>
      <c r="Q20">
        <v>34</v>
      </c>
      <c r="R20">
        <v>3</v>
      </c>
      <c r="S20">
        <v>2</v>
      </c>
      <c r="T20">
        <v>73</v>
      </c>
      <c r="U20">
        <v>0</v>
      </c>
      <c r="V20">
        <v>2</v>
      </c>
      <c r="W20">
        <v>108</v>
      </c>
      <c r="X20">
        <v>1034</v>
      </c>
      <c r="Y20">
        <v>244</v>
      </c>
      <c r="Z20">
        <v>416</v>
      </c>
      <c r="AA20">
        <v>14336</v>
      </c>
      <c r="AB20">
        <v>53</v>
      </c>
      <c r="AC20">
        <v>2589</v>
      </c>
      <c r="AD20">
        <v>800</v>
      </c>
      <c r="AE20">
        <v>227</v>
      </c>
      <c r="AF20">
        <v>61.25</v>
      </c>
      <c r="AG20">
        <v>98.35</v>
      </c>
      <c r="AH20">
        <v>12</v>
      </c>
      <c r="AI20">
        <v>14</v>
      </c>
      <c r="AJ20">
        <v>297</v>
      </c>
      <c r="AK20">
        <v>29</v>
      </c>
      <c r="AL20" s="8">
        <f t="shared" si="0"/>
        <v>10.241379310344827</v>
      </c>
      <c r="AM20">
        <v>30794</v>
      </c>
      <c r="AN20" s="5">
        <v>0.08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t="str">
        <f t="shared" si="1"/>
        <v>17/18</v>
      </c>
    </row>
    <row r="21" spans="2:46" x14ac:dyDescent="0.25">
      <c r="B21">
        <v>18</v>
      </c>
      <c r="C21" t="s">
        <v>36</v>
      </c>
      <c r="D21">
        <v>28</v>
      </c>
      <c r="E21">
        <v>56</v>
      </c>
      <c r="F21">
        <v>-28</v>
      </c>
      <c r="G21">
        <v>9</v>
      </c>
      <c r="H21">
        <v>51</v>
      </c>
      <c r="I21">
        <v>1</v>
      </c>
      <c r="J21">
        <v>31.6</v>
      </c>
      <c r="K21">
        <v>58.6</v>
      </c>
      <c r="L21">
        <v>-3.6000000000000014</v>
      </c>
      <c r="M21">
        <v>338</v>
      </c>
      <c r="N21">
        <v>338</v>
      </c>
      <c r="O21">
        <v>1</v>
      </c>
      <c r="P21">
        <v>3</v>
      </c>
      <c r="Q21">
        <v>24</v>
      </c>
      <c r="R21">
        <v>4</v>
      </c>
      <c r="S21">
        <v>0</v>
      </c>
      <c r="T21">
        <v>38</v>
      </c>
      <c r="U21">
        <v>2</v>
      </c>
      <c r="V21">
        <v>6</v>
      </c>
      <c r="W21">
        <v>133</v>
      </c>
      <c r="X21">
        <v>1019</v>
      </c>
      <c r="Y21">
        <v>221</v>
      </c>
      <c r="Z21">
        <v>377</v>
      </c>
      <c r="AA21">
        <v>13223</v>
      </c>
      <c r="AB21">
        <v>23</v>
      </c>
      <c r="AC21">
        <v>2582</v>
      </c>
      <c r="AD21">
        <v>694</v>
      </c>
      <c r="AE21">
        <v>150</v>
      </c>
      <c r="AF21">
        <v>73.39</v>
      </c>
      <c r="AG21">
        <v>81.099999999999994</v>
      </c>
      <c r="AH21">
        <v>21</v>
      </c>
      <c r="AI21">
        <v>24</v>
      </c>
      <c r="AJ21">
        <v>165.49</v>
      </c>
      <c r="AK21">
        <v>36</v>
      </c>
      <c r="AL21" s="8">
        <f t="shared" si="0"/>
        <v>4.5969444444444445</v>
      </c>
      <c r="AM21">
        <v>20623</v>
      </c>
      <c r="AN21" s="5">
        <v>0.17</v>
      </c>
      <c r="AO21" s="13">
        <v>0</v>
      </c>
      <c r="AP21" s="13">
        <v>0</v>
      </c>
      <c r="AQ21" s="13">
        <v>0</v>
      </c>
      <c r="AR21" s="13">
        <v>1</v>
      </c>
      <c r="AS21" s="13">
        <v>0</v>
      </c>
      <c r="AT21" t="str">
        <f t="shared" si="1"/>
        <v>17/18</v>
      </c>
    </row>
    <row r="22" spans="2:46" x14ac:dyDescent="0.25">
      <c r="B22">
        <v>19</v>
      </c>
      <c r="C22" t="s">
        <v>37</v>
      </c>
      <c r="D22">
        <v>35</v>
      </c>
      <c r="E22">
        <v>68</v>
      </c>
      <c r="F22">
        <v>-33</v>
      </c>
      <c r="G22">
        <v>6</v>
      </c>
      <c r="H22">
        <v>62</v>
      </c>
      <c r="I22">
        <v>1</v>
      </c>
      <c r="J22">
        <v>36.5</v>
      </c>
      <c r="K22">
        <v>62.5</v>
      </c>
      <c r="L22">
        <v>-1.5</v>
      </c>
      <c r="M22">
        <v>380</v>
      </c>
      <c r="N22">
        <v>380</v>
      </c>
      <c r="O22">
        <v>0</v>
      </c>
      <c r="P22">
        <v>8</v>
      </c>
      <c r="Q22">
        <v>28</v>
      </c>
      <c r="R22">
        <v>8</v>
      </c>
      <c r="S22">
        <v>2</v>
      </c>
      <c r="T22">
        <v>87</v>
      </c>
      <c r="U22">
        <v>2</v>
      </c>
      <c r="V22">
        <v>5</v>
      </c>
      <c r="W22">
        <v>150</v>
      </c>
      <c r="X22">
        <v>1265</v>
      </c>
      <c r="Y22">
        <v>228</v>
      </c>
      <c r="Z22">
        <v>436</v>
      </c>
      <c r="AA22">
        <v>10122</v>
      </c>
      <c r="AB22">
        <v>33</v>
      </c>
      <c r="AC22">
        <v>1979</v>
      </c>
      <c r="AD22">
        <v>598</v>
      </c>
      <c r="AE22">
        <v>136</v>
      </c>
      <c r="AF22">
        <v>57.7</v>
      </c>
      <c r="AG22">
        <v>35.14</v>
      </c>
      <c r="AH22">
        <v>18</v>
      </c>
      <c r="AI22">
        <v>17</v>
      </c>
      <c r="AJ22">
        <v>192.45</v>
      </c>
      <c r="AK22">
        <v>45</v>
      </c>
      <c r="AL22" s="8">
        <f t="shared" si="0"/>
        <v>4.2766666666666664</v>
      </c>
      <c r="AM22">
        <v>29280</v>
      </c>
      <c r="AN22" s="5">
        <v>0.13</v>
      </c>
      <c r="AO22" s="13">
        <v>0</v>
      </c>
      <c r="AP22" s="13">
        <v>0</v>
      </c>
      <c r="AQ22" s="13">
        <v>0</v>
      </c>
      <c r="AR22" s="13">
        <v>1</v>
      </c>
      <c r="AS22" s="13">
        <v>0</v>
      </c>
      <c r="AT22" t="str">
        <f t="shared" si="1"/>
        <v>17/18</v>
      </c>
    </row>
    <row r="23" spans="2:46" x14ac:dyDescent="0.25">
      <c r="B23">
        <v>20</v>
      </c>
      <c r="C23" t="s">
        <v>28</v>
      </c>
      <c r="D23">
        <v>31</v>
      </c>
      <c r="E23">
        <v>56</v>
      </c>
      <c r="F23">
        <v>-25</v>
      </c>
      <c r="G23">
        <v>10</v>
      </c>
      <c r="H23">
        <v>73</v>
      </c>
      <c r="I23">
        <v>1</v>
      </c>
      <c r="J23">
        <v>36.5</v>
      </c>
      <c r="K23">
        <v>47.9</v>
      </c>
      <c r="L23">
        <v>-5.5</v>
      </c>
      <c r="M23">
        <v>377</v>
      </c>
      <c r="N23">
        <v>377</v>
      </c>
      <c r="O23">
        <v>1</v>
      </c>
      <c r="P23">
        <v>10</v>
      </c>
      <c r="Q23">
        <v>29</v>
      </c>
      <c r="R23">
        <v>2</v>
      </c>
      <c r="S23">
        <v>2</v>
      </c>
      <c r="T23">
        <v>79</v>
      </c>
      <c r="U23">
        <v>2</v>
      </c>
      <c r="V23">
        <v>1</v>
      </c>
      <c r="W23">
        <v>100</v>
      </c>
      <c r="X23">
        <v>1087</v>
      </c>
      <c r="Y23">
        <v>218</v>
      </c>
      <c r="Z23">
        <v>440</v>
      </c>
      <c r="AA23">
        <v>10495</v>
      </c>
      <c r="AB23">
        <v>34</v>
      </c>
      <c r="AC23">
        <v>2041</v>
      </c>
      <c r="AD23">
        <v>784</v>
      </c>
      <c r="AE23">
        <v>176</v>
      </c>
      <c r="AF23">
        <v>53.5</v>
      </c>
      <c r="AG23">
        <v>2.0499999999999998</v>
      </c>
      <c r="AH23">
        <v>17</v>
      </c>
      <c r="AI23">
        <v>11</v>
      </c>
      <c r="AJ23">
        <v>165.95</v>
      </c>
      <c r="AK23">
        <v>33</v>
      </c>
      <c r="AL23" s="8">
        <f t="shared" si="0"/>
        <v>5.0287878787878784</v>
      </c>
      <c r="AM23">
        <v>24520</v>
      </c>
      <c r="AN23" s="5">
        <v>0.16</v>
      </c>
      <c r="AO23" s="13">
        <v>0</v>
      </c>
      <c r="AP23" s="13">
        <v>0</v>
      </c>
      <c r="AQ23" s="13">
        <v>0</v>
      </c>
      <c r="AR23" s="13">
        <v>1</v>
      </c>
      <c r="AS23" s="13">
        <v>0</v>
      </c>
      <c r="AT23" t="str">
        <f t="shared" si="1"/>
        <v>17/18</v>
      </c>
    </row>
  </sheetData>
  <mergeCells count="5">
    <mergeCell ref="D2:L2"/>
    <mergeCell ref="M2:T2"/>
    <mergeCell ref="U2:Z2"/>
    <mergeCell ref="AA2:AE2"/>
    <mergeCell ref="AF2:AN2"/>
  </mergeCells>
  <hyperlinks>
    <hyperlink ref="C5" r:id="rId1" display="https://fbref.com/en/squads/19538871/2017-2018/Manchester-United-Stats" xr:uid="{B8D5ADD3-EF3C-4A40-BE57-AAAC6A3BD35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0EC7-631A-7144-A682-E96B59FF0A3C}">
  <dimension ref="A2:AT23"/>
  <sheetViews>
    <sheetView zoomScale="80" zoomScaleNormal="80" workbookViewId="0">
      <pane xSplit="3" ySplit="3" topLeftCell="AB4" activePane="bottomRight" state="frozen"/>
      <selection pane="topRight" activeCell="D1" sqref="D1"/>
      <selection pane="bottomLeft" activeCell="A4" sqref="A4"/>
      <selection pane="bottomRight" activeCell="AK14" sqref="AK14"/>
    </sheetView>
  </sheetViews>
  <sheetFormatPr baseColWidth="10" defaultColWidth="11.125" defaultRowHeight="15.75" x14ac:dyDescent="0.25"/>
  <cols>
    <col min="2" max="2" width="22.125" bestFit="1" customWidth="1"/>
    <col min="3" max="3" width="24.125" bestFit="1" customWidth="1"/>
    <col min="4" max="4" width="12" bestFit="1" customWidth="1"/>
    <col min="5" max="6" width="12" customWidth="1"/>
    <col min="7" max="7" width="15" bestFit="1" customWidth="1"/>
    <col min="8" max="8" width="16.375" bestFit="1" customWidth="1"/>
    <col min="9" max="9" width="12.875" bestFit="1" customWidth="1"/>
    <col min="10" max="10" width="28.625" bestFit="1" customWidth="1"/>
    <col min="11" max="11" width="31.125" customWidth="1"/>
    <col min="12" max="12" width="31.125" bestFit="1" customWidth="1"/>
    <col min="20" max="20" width="13.625" bestFit="1" customWidth="1"/>
    <col min="34" max="34" width="16.125" bestFit="1" customWidth="1"/>
    <col min="35" max="35" width="18.125" bestFit="1" customWidth="1"/>
    <col min="36" max="36" width="17.375" bestFit="1" customWidth="1"/>
  </cols>
  <sheetData>
    <row r="2" spans="1:46" x14ac:dyDescent="0.25">
      <c r="B2" t="s">
        <v>32</v>
      </c>
      <c r="D2" s="99" t="s">
        <v>79</v>
      </c>
      <c r="E2" s="99"/>
      <c r="F2" s="99"/>
      <c r="G2" s="99"/>
      <c r="H2" s="99"/>
      <c r="I2" s="99"/>
      <c r="J2" s="99"/>
      <c r="K2" s="99"/>
      <c r="L2" s="99"/>
      <c r="M2" s="100" t="s">
        <v>80</v>
      </c>
      <c r="N2" s="100"/>
      <c r="O2" s="100"/>
      <c r="P2" s="100"/>
      <c r="Q2" s="100"/>
      <c r="R2" s="100"/>
      <c r="S2" s="100"/>
      <c r="T2" s="100"/>
      <c r="U2" s="101" t="s">
        <v>81</v>
      </c>
      <c r="V2" s="101"/>
      <c r="W2" s="101"/>
      <c r="X2" s="101"/>
      <c r="Y2" s="101"/>
      <c r="Z2" s="101"/>
      <c r="AA2" s="102" t="s">
        <v>82</v>
      </c>
      <c r="AB2" s="102"/>
      <c r="AC2" s="102"/>
      <c r="AD2" s="102"/>
      <c r="AE2" s="102"/>
      <c r="AF2" s="103" t="s">
        <v>83</v>
      </c>
      <c r="AG2" s="103"/>
      <c r="AH2" s="103"/>
      <c r="AI2" s="103"/>
      <c r="AJ2" s="103"/>
      <c r="AK2" s="103"/>
      <c r="AL2" s="103"/>
      <c r="AM2" s="103"/>
      <c r="AN2" s="103"/>
      <c r="AO2" s="9"/>
      <c r="AP2" s="9"/>
      <c r="AQ2" s="9"/>
      <c r="AR2" s="9"/>
      <c r="AS2" s="9"/>
    </row>
    <row r="3" spans="1:46" x14ac:dyDescent="0.25">
      <c r="B3" t="s">
        <v>0</v>
      </c>
      <c r="C3" t="s">
        <v>24</v>
      </c>
      <c r="D3" t="s">
        <v>20</v>
      </c>
      <c r="E3" t="s">
        <v>42</v>
      </c>
      <c r="F3" t="s">
        <v>43</v>
      </c>
      <c r="G3" t="s">
        <v>21</v>
      </c>
      <c r="H3" t="s">
        <v>22</v>
      </c>
      <c r="I3" t="s">
        <v>23</v>
      </c>
      <c r="J3" t="s">
        <v>46</v>
      </c>
      <c r="K3" t="s">
        <v>47</v>
      </c>
      <c r="L3" t="s">
        <v>53</v>
      </c>
      <c r="M3" t="s">
        <v>55</v>
      </c>
      <c r="N3" t="s">
        <v>54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63</v>
      </c>
      <c r="U3" t="s">
        <v>61</v>
      </c>
      <c r="V3" t="s">
        <v>62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44</v>
      </c>
      <c r="AG3" t="s">
        <v>45</v>
      </c>
      <c r="AH3" t="s">
        <v>73</v>
      </c>
      <c r="AI3" t="s">
        <v>74</v>
      </c>
      <c r="AJ3" t="s">
        <v>51</v>
      </c>
      <c r="AK3" t="s">
        <v>75</v>
      </c>
      <c r="AL3" t="s">
        <v>76</v>
      </c>
      <c r="AM3" t="s">
        <v>77</v>
      </c>
      <c r="AN3" t="s">
        <v>78</v>
      </c>
      <c r="AO3" t="s">
        <v>101</v>
      </c>
      <c r="AP3" t="s">
        <v>102</v>
      </c>
      <c r="AQ3" t="s">
        <v>104</v>
      </c>
      <c r="AR3" t="s">
        <v>105</v>
      </c>
      <c r="AS3" t="s">
        <v>106</v>
      </c>
      <c r="AT3" t="s">
        <v>92</v>
      </c>
    </row>
    <row r="4" spans="1:46" x14ac:dyDescent="0.25">
      <c r="A4" t="s">
        <v>25</v>
      </c>
      <c r="B4">
        <v>1</v>
      </c>
      <c r="C4" t="s">
        <v>25</v>
      </c>
      <c r="D4">
        <v>95</v>
      </c>
      <c r="E4">
        <v>23</v>
      </c>
      <c r="F4">
        <v>72</v>
      </c>
      <c r="G4">
        <v>20</v>
      </c>
      <c r="H4">
        <v>44</v>
      </c>
      <c r="I4">
        <v>1</v>
      </c>
      <c r="J4">
        <v>84.3</v>
      </c>
      <c r="K4">
        <v>24.7</v>
      </c>
      <c r="L4">
        <v>10.700000000000003</v>
      </c>
      <c r="M4">
        <v>679</v>
      </c>
      <c r="N4">
        <v>252</v>
      </c>
      <c r="O4">
        <v>3</v>
      </c>
      <c r="P4">
        <v>12</v>
      </c>
      <c r="Q4">
        <v>80</v>
      </c>
      <c r="R4">
        <v>15</v>
      </c>
      <c r="S4">
        <v>5</v>
      </c>
      <c r="T4">
        <v>98</v>
      </c>
      <c r="U4">
        <v>0</v>
      </c>
      <c r="V4">
        <v>4</v>
      </c>
      <c r="W4">
        <v>58</v>
      </c>
      <c r="X4">
        <v>570</v>
      </c>
      <c r="Y4">
        <v>518</v>
      </c>
      <c r="Z4">
        <v>328</v>
      </c>
      <c r="AA4">
        <v>24678</v>
      </c>
      <c r="AB4">
        <v>112</v>
      </c>
      <c r="AC4">
        <v>4240</v>
      </c>
      <c r="AD4">
        <v>783</v>
      </c>
      <c r="AE4">
        <v>298</v>
      </c>
      <c r="AF4">
        <v>78.59</v>
      </c>
      <c r="AG4">
        <v>57.6</v>
      </c>
      <c r="AH4">
        <v>19</v>
      </c>
      <c r="AI4">
        <v>22</v>
      </c>
      <c r="AJ4">
        <v>1200</v>
      </c>
      <c r="AK4">
        <v>46</v>
      </c>
      <c r="AL4">
        <v>26.086956521739129</v>
      </c>
      <c r="AM4">
        <v>54130</v>
      </c>
      <c r="AN4" s="5">
        <v>0.09</v>
      </c>
      <c r="AO4" s="13">
        <v>1</v>
      </c>
      <c r="AP4" s="13">
        <v>0</v>
      </c>
      <c r="AQ4" s="13">
        <v>1</v>
      </c>
      <c r="AR4" s="13">
        <v>0</v>
      </c>
      <c r="AS4" s="13">
        <v>1</v>
      </c>
      <c r="AT4" t="s">
        <v>93</v>
      </c>
    </row>
    <row r="5" spans="1:46" x14ac:dyDescent="0.25">
      <c r="A5" t="s">
        <v>1</v>
      </c>
      <c r="B5">
        <v>2</v>
      </c>
      <c r="C5" t="s">
        <v>1</v>
      </c>
      <c r="D5">
        <v>89</v>
      </c>
      <c r="E5">
        <v>22</v>
      </c>
      <c r="F5">
        <v>67</v>
      </c>
      <c r="G5">
        <v>21</v>
      </c>
      <c r="H5">
        <v>38</v>
      </c>
      <c r="I5">
        <v>2</v>
      </c>
      <c r="J5">
        <v>73.7</v>
      </c>
      <c r="K5">
        <v>28.8</v>
      </c>
      <c r="L5">
        <v>15.299999999999997</v>
      </c>
      <c r="M5">
        <v>568</v>
      </c>
      <c r="N5">
        <v>211</v>
      </c>
      <c r="O5">
        <v>7</v>
      </c>
      <c r="P5">
        <v>19</v>
      </c>
      <c r="Q5">
        <v>84</v>
      </c>
      <c r="R5">
        <v>5</v>
      </c>
      <c r="S5">
        <v>6</v>
      </c>
      <c r="T5">
        <v>77</v>
      </c>
      <c r="U5">
        <v>0</v>
      </c>
      <c r="V5">
        <v>1</v>
      </c>
      <c r="W5">
        <v>74</v>
      </c>
      <c r="X5">
        <v>670</v>
      </c>
      <c r="Y5">
        <v>613</v>
      </c>
      <c r="Z5">
        <v>315</v>
      </c>
      <c r="AA5">
        <v>21146</v>
      </c>
      <c r="AB5">
        <v>98</v>
      </c>
      <c r="AC5">
        <v>3416</v>
      </c>
      <c r="AD5">
        <v>721</v>
      </c>
      <c r="AE5">
        <v>249</v>
      </c>
      <c r="AF5">
        <v>182.2</v>
      </c>
      <c r="AG5">
        <v>41.32</v>
      </c>
      <c r="AH5">
        <v>18</v>
      </c>
      <c r="AI5">
        <v>21</v>
      </c>
      <c r="AJ5">
        <v>1170</v>
      </c>
      <c r="AK5">
        <v>39</v>
      </c>
      <c r="AL5">
        <v>30</v>
      </c>
      <c r="AM5">
        <v>52983</v>
      </c>
      <c r="AN5" s="5">
        <v>0.17</v>
      </c>
      <c r="AO5" s="13">
        <v>1</v>
      </c>
      <c r="AP5" s="13">
        <v>0</v>
      </c>
      <c r="AQ5" s="13">
        <v>1</v>
      </c>
      <c r="AR5" s="13">
        <v>0</v>
      </c>
      <c r="AS5" s="13">
        <v>1</v>
      </c>
      <c r="AT5" t="str">
        <f>AT4</f>
        <v>18/19</v>
      </c>
    </row>
    <row r="6" spans="1:46" x14ac:dyDescent="0.25">
      <c r="A6" t="s">
        <v>2</v>
      </c>
      <c r="B6">
        <v>3</v>
      </c>
      <c r="C6" t="s">
        <v>2</v>
      </c>
      <c r="D6">
        <v>63</v>
      </c>
      <c r="E6">
        <v>39</v>
      </c>
      <c r="F6">
        <v>24</v>
      </c>
      <c r="G6">
        <v>16</v>
      </c>
      <c r="H6">
        <v>49</v>
      </c>
      <c r="I6">
        <v>0</v>
      </c>
      <c r="J6">
        <v>58.6</v>
      </c>
      <c r="K6">
        <v>36.4</v>
      </c>
      <c r="L6">
        <v>4.3999999999999986</v>
      </c>
      <c r="M6">
        <v>602</v>
      </c>
      <c r="N6">
        <v>192</v>
      </c>
      <c r="O6">
        <v>5</v>
      </c>
      <c r="P6">
        <v>8</v>
      </c>
      <c r="Q6">
        <v>54</v>
      </c>
      <c r="R6">
        <v>9</v>
      </c>
      <c r="S6">
        <v>1</v>
      </c>
      <c r="T6">
        <v>83</v>
      </c>
      <c r="U6">
        <v>0</v>
      </c>
      <c r="V6">
        <v>2</v>
      </c>
      <c r="W6">
        <v>84</v>
      </c>
      <c r="X6">
        <v>645</v>
      </c>
      <c r="Y6">
        <v>618</v>
      </c>
      <c r="Z6">
        <v>339</v>
      </c>
      <c r="AA6">
        <v>22960</v>
      </c>
      <c r="AB6">
        <v>146</v>
      </c>
      <c r="AC6">
        <v>3874</v>
      </c>
      <c r="AD6">
        <v>692</v>
      </c>
      <c r="AE6">
        <v>215</v>
      </c>
      <c r="AF6">
        <v>208.8</v>
      </c>
      <c r="AG6">
        <v>83.25</v>
      </c>
      <c r="AH6">
        <v>30</v>
      </c>
      <c r="AI6">
        <v>31</v>
      </c>
      <c r="AJ6">
        <v>1170</v>
      </c>
      <c r="AK6">
        <v>54</v>
      </c>
      <c r="AL6">
        <v>21.666666666666668</v>
      </c>
      <c r="AM6">
        <v>40437</v>
      </c>
      <c r="AN6" s="5">
        <v>0.31</v>
      </c>
      <c r="AO6" s="13">
        <v>1</v>
      </c>
      <c r="AP6" s="13">
        <v>0</v>
      </c>
      <c r="AQ6" s="13">
        <v>1</v>
      </c>
      <c r="AR6" s="13">
        <v>0</v>
      </c>
      <c r="AS6" s="13">
        <v>1</v>
      </c>
      <c r="AT6" t="str">
        <f t="shared" ref="AT6:AT23" si="0">AT5</f>
        <v>18/19</v>
      </c>
    </row>
    <row r="7" spans="1:46" x14ac:dyDescent="0.25">
      <c r="A7" t="s">
        <v>3</v>
      </c>
      <c r="B7">
        <v>4</v>
      </c>
      <c r="C7" t="s">
        <v>3</v>
      </c>
      <c r="D7">
        <v>67</v>
      </c>
      <c r="E7">
        <v>39</v>
      </c>
      <c r="F7">
        <v>28</v>
      </c>
      <c r="G7">
        <v>13</v>
      </c>
      <c r="H7">
        <v>56</v>
      </c>
      <c r="I7">
        <v>3</v>
      </c>
      <c r="J7">
        <v>54.9</v>
      </c>
      <c r="K7">
        <v>47.1</v>
      </c>
      <c r="L7">
        <v>12.100000000000001</v>
      </c>
      <c r="M7">
        <v>533</v>
      </c>
      <c r="N7">
        <v>182</v>
      </c>
      <c r="O7">
        <v>4</v>
      </c>
      <c r="P7">
        <v>14</v>
      </c>
      <c r="Q7">
        <v>53</v>
      </c>
      <c r="R7">
        <v>14</v>
      </c>
      <c r="S7">
        <v>5</v>
      </c>
      <c r="T7">
        <v>74</v>
      </c>
      <c r="U7">
        <v>3</v>
      </c>
      <c r="V7">
        <v>5</v>
      </c>
      <c r="W7">
        <v>118</v>
      </c>
      <c r="X7">
        <v>823</v>
      </c>
      <c r="Y7">
        <v>627</v>
      </c>
      <c r="Z7">
        <v>376</v>
      </c>
      <c r="AA7">
        <v>18808</v>
      </c>
      <c r="AB7">
        <v>87</v>
      </c>
      <c r="AC7">
        <v>3191</v>
      </c>
      <c r="AD7">
        <v>643</v>
      </c>
      <c r="AE7">
        <v>194</v>
      </c>
      <c r="AF7">
        <v>0</v>
      </c>
      <c r="AG7">
        <v>5.35</v>
      </c>
      <c r="AH7">
        <v>4</v>
      </c>
      <c r="AI7">
        <v>4</v>
      </c>
      <c r="AJ7">
        <v>898.6</v>
      </c>
      <c r="AK7">
        <v>34</v>
      </c>
      <c r="AL7">
        <v>26.429411764705883</v>
      </c>
      <c r="AM7">
        <v>54216</v>
      </c>
      <c r="AN7" s="5">
        <v>0.1</v>
      </c>
      <c r="AO7" s="13">
        <v>1</v>
      </c>
      <c r="AP7" s="13">
        <v>0</v>
      </c>
      <c r="AQ7" s="13">
        <v>1</v>
      </c>
      <c r="AR7" s="13">
        <v>0</v>
      </c>
      <c r="AS7" s="13">
        <v>1</v>
      </c>
      <c r="AT7" t="str">
        <f t="shared" si="0"/>
        <v>18/19</v>
      </c>
    </row>
    <row r="8" spans="1:46" x14ac:dyDescent="0.25">
      <c r="A8" t="s">
        <v>6</v>
      </c>
      <c r="B8">
        <v>5</v>
      </c>
      <c r="C8" t="s">
        <v>6</v>
      </c>
      <c r="D8">
        <v>73</v>
      </c>
      <c r="E8">
        <v>51</v>
      </c>
      <c r="F8">
        <v>22</v>
      </c>
      <c r="G8">
        <v>8</v>
      </c>
      <c r="H8">
        <v>72</v>
      </c>
      <c r="I8">
        <v>2</v>
      </c>
      <c r="J8">
        <v>60.1</v>
      </c>
      <c r="K8">
        <v>54.2</v>
      </c>
      <c r="L8">
        <v>12.899999999999999</v>
      </c>
      <c r="M8">
        <v>462</v>
      </c>
      <c r="N8">
        <v>159</v>
      </c>
      <c r="O8">
        <v>4</v>
      </c>
      <c r="P8">
        <v>5</v>
      </c>
      <c r="Q8">
        <v>62</v>
      </c>
      <c r="R8">
        <v>11</v>
      </c>
      <c r="S8">
        <v>3</v>
      </c>
      <c r="T8">
        <v>89</v>
      </c>
      <c r="U8">
        <v>1</v>
      </c>
      <c r="V8">
        <v>7</v>
      </c>
      <c r="W8">
        <v>132</v>
      </c>
      <c r="X8">
        <v>798</v>
      </c>
      <c r="Y8">
        <v>609</v>
      </c>
      <c r="Z8">
        <v>412</v>
      </c>
      <c r="AA8">
        <v>18425</v>
      </c>
      <c r="AB8">
        <v>65</v>
      </c>
      <c r="AC8">
        <v>3102</v>
      </c>
      <c r="AD8">
        <v>605</v>
      </c>
      <c r="AE8">
        <v>209</v>
      </c>
      <c r="AF8">
        <v>80.150000000000006</v>
      </c>
      <c r="AG8">
        <v>9.1</v>
      </c>
      <c r="AH8">
        <v>17</v>
      </c>
      <c r="AI8">
        <v>12</v>
      </c>
      <c r="AJ8">
        <v>659.05</v>
      </c>
      <c r="AK8">
        <v>42</v>
      </c>
      <c r="AL8">
        <v>15.691666666666666</v>
      </c>
      <c r="AM8">
        <v>59899</v>
      </c>
      <c r="AN8" s="5">
        <v>0.26</v>
      </c>
      <c r="AO8" s="13">
        <v>1</v>
      </c>
      <c r="AP8" s="13">
        <v>0</v>
      </c>
      <c r="AQ8" s="13">
        <v>0</v>
      </c>
      <c r="AR8" s="13">
        <v>0</v>
      </c>
      <c r="AS8" s="13">
        <v>1</v>
      </c>
      <c r="AT8" t="str">
        <f t="shared" si="0"/>
        <v>18/19</v>
      </c>
    </row>
    <row r="9" spans="1:46" x14ac:dyDescent="0.25">
      <c r="A9" t="s">
        <v>4</v>
      </c>
      <c r="B9">
        <v>6</v>
      </c>
      <c r="C9" t="s">
        <v>4</v>
      </c>
      <c r="D9">
        <v>65</v>
      </c>
      <c r="E9">
        <v>54</v>
      </c>
      <c r="F9">
        <v>11</v>
      </c>
      <c r="G9">
        <v>7</v>
      </c>
      <c r="H9">
        <v>73</v>
      </c>
      <c r="I9">
        <v>4</v>
      </c>
      <c r="J9">
        <v>61.4</v>
      </c>
      <c r="K9">
        <v>50.6</v>
      </c>
      <c r="L9">
        <v>3.6000000000000014</v>
      </c>
      <c r="M9">
        <v>514</v>
      </c>
      <c r="N9">
        <v>210</v>
      </c>
      <c r="O9">
        <v>9</v>
      </c>
      <c r="P9">
        <v>4</v>
      </c>
      <c r="Q9">
        <v>55</v>
      </c>
      <c r="R9">
        <v>10</v>
      </c>
      <c r="S9">
        <v>4</v>
      </c>
      <c r="T9">
        <v>90</v>
      </c>
      <c r="U9">
        <v>3</v>
      </c>
      <c r="V9">
        <v>6</v>
      </c>
      <c r="W9">
        <v>120</v>
      </c>
      <c r="X9">
        <v>847</v>
      </c>
      <c r="Y9">
        <v>581</v>
      </c>
      <c r="Z9">
        <v>433</v>
      </c>
      <c r="AA9">
        <v>16834</v>
      </c>
      <c r="AB9">
        <v>63</v>
      </c>
      <c r="AC9">
        <v>2634</v>
      </c>
      <c r="AD9">
        <v>638</v>
      </c>
      <c r="AE9">
        <v>200</v>
      </c>
      <c r="AF9">
        <v>82.7</v>
      </c>
      <c r="AG9">
        <v>30.55</v>
      </c>
      <c r="AH9">
        <v>9</v>
      </c>
      <c r="AI9">
        <v>10</v>
      </c>
      <c r="AJ9">
        <v>797.6</v>
      </c>
      <c r="AK9">
        <v>36</v>
      </c>
      <c r="AL9">
        <v>22.155555555555555</v>
      </c>
      <c r="AM9">
        <v>74498</v>
      </c>
      <c r="AN9" s="5">
        <v>0.05</v>
      </c>
      <c r="AO9" s="13">
        <v>1</v>
      </c>
      <c r="AP9" s="13">
        <v>0</v>
      </c>
      <c r="AQ9" s="13">
        <v>0</v>
      </c>
      <c r="AR9" s="13">
        <v>0</v>
      </c>
      <c r="AS9" s="13">
        <v>1</v>
      </c>
      <c r="AT9" t="str">
        <f t="shared" si="0"/>
        <v>18/19</v>
      </c>
    </row>
    <row r="10" spans="1:46" x14ac:dyDescent="0.25">
      <c r="A10" t="s">
        <v>16</v>
      </c>
      <c r="B10">
        <v>7</v>
      </c>
      <c r="C10" t="s">
        <v>16</v>
      </c>
      <c r="D10">
        <v>47</v>
      </c>
      <c r="E10">
        <v>46</v>
      </c>
      <c r="F10">
        <v>1</v>
      </c>
      <c r="G10">
        <v>9</v>
      </c>
      <c r="H10">
        <v>72</v>
      </c>
      <c r="I10">
        <v>1</v>
      </c>
      <c r="J10">
        <v>52.1</v>
      </c>
      <c r="K10">
        <v>42.1</v>
      </c>
      <c r="L10">
        <v>-5.1000000000000014</v>
      </c>
      <c r="M10">
        <v>473</v>
      </c>
      <c r="N10">
        <v>144</v>
      </c>
      <c r="O10">
        <v>4</v>
      </c>
      <c r="P10">
        <v>10</v>
      </c>
      <c r="Q10">
        <v>44</v>
      </c>
      <c r="R10">
        <v>3</v>
      </c>
      <c r="S10">
        <v>5</v>
      </c>
      <c r="T10">
        <v>73</v>
      </c>
      <c r="U10">
        <v>4</v>
      </c>
      <c r="V10">
        <v>4</v>
      </c>
      <c r="W10">
        <v>99</v>
      </c>
      <c r="X10">
        <v>895</v>
      </c>
      <c r="Y10">
        <v>720</v>
      </c>
      <c r="Z10">
        <v>409</v>
      </c>
      <c r="AA10">
        <v>13961</v>
      </c>
      <c r="AB10">
        <v>51</v>
      </c>
      <c r="AC10">
        <v>2515</v>
      </c>
      <c r="AD10">
        <v>622</v>
      </c>
      <c r="AE10">
        <v>195</v>
      </c>
      <c r="AF10">
        <v>112.75</v>
      </c>
      <c r="AG10">
        <v>23.3</v>
      </c>
      <c r="AH10">
        <v>35</v>
      </c>
      <c r="AI10">
        <v>46</v>
      </c>
      <c r="AJ10">
        <v>302.89999999999998</v>
      </c>
      <c r="AK10">
        <v>40</v>
      </c>
      <c r="AL10">
        <v>7.5724999999999998</v>
      </c>
      <c r="AM10">
        <v>31030</v>
      </c>
      <c r="AN10" s="5">
        <v>0.14000000000000001</v>
      </c>
      <c r="AO10" s="13">
        <v>0</v>
      </c>
      <c r="AP10" s="13">
        <v>1</v>
      </c>
      <c r="AQ10" s="13">
        <v>0</v>
      </c>
      <c r="AR10" s="13">
        <v>0</v>
      </c>
      <c r="AS10" s="13">
        <v>0</v>
      </c>
      <c r="AT10" t="str">
        <f t="shared" si="0"/>
        <v>18/19</v>
      </c>
    </row>
    <row r="11" spans="1:46" x14ac:dyDescent="0.25">
      <c r="A11" t="s">
        <v>15</v>
      </c>
      <c r="B11">
        <v>8</v>
      </c>
      <c r="C11" t="s">
        <v>15</v>
      </c>
      <c r="D11">
        <v>54</v>
      </c>
      <c r="E11">
        <v>46</v>
      </c>
      <c r="F11">
        <v>8</v>
      </c>
      <c r="G11">
        <v>14</v>
      </c>
      <c r="H11">
        <v>55</v>
      </c>
      <c r="I11">
        <v>4</v>
      </c>
      <c r="J11">
        <v>49.7</v>
      </c>
      <c r="K11">
        <v>45.7</v>
      </c>
      <c r="L11">
        <v>4.2999999999999972</v>
      </c>
      <c r="M11">
        <v>493</v>
      </c>
      <c r="N11">
        <v>163</v>
      </c>
      <c r="O11">
        <v>2</v>
      </c>
      <c r="P11">
        <v>13</v>
      </c>
      <c r="Q11">
        <v>45</v>
      </c>
      <c r="R11">
        <v>10</v>
      </c>
      <c r="S11">
        <v>3</v>
      </c>
      <c r="T11">
        <v>69</v>
      </c>
      <c r="U11">
        <v>2</v>
      </c>
      <c r="V11">
        <v>5</v>
      </c>
      <c r="W11">
        <v>89</v>
      </c>
      <c r="X11">
        <v>877</v>
      </c>
      <c r="Y11">
        <v>699</v>
      </c>
      <c r="Z11">
        <v>432</v>
      </c>
      <c r="AA11">
        <v>13878</v>
      </c>
      <c r="AB11">
        <v>44</v>
      </c>
      <c r="AC11">
        <v>2362</v>
      </c>
      <c r="AD11">
        <v>814</v>
      </c>
      <c r="AE11">
        <v>215</v>
      </c>
      <c r="AF11">
        <v>99.8</v>
      </c>
      <c r="AG11">
        <v>28.65</v>
      </c>
      <c r="AH11">
        <v>19</v>
      </c>
      <c r="AI11">
        <v>23</v>
      </c>
      <c r="AJ11">
        <v>529.1</v>
      </c>
      <c r="AK11">
        <v>40</v>
      </c>
      <c r="AL11">
        <v>13.227500000000001</v>
      </c>
      <c r="AM11">
        <v>39043</v>
      </c>
      <c r="AN11" s="5">
        <v>0.1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t="str">
        <f t="shared" si="0"/>
        <v>18/19</v>
      </c>
    </row>
    <row r="12" spans="1:46" x14ac:dyDescent="0.25">
      <c r="A12" t="s">
        <v>7</v>
      </c>
      <c r="B12">
        <v>9</v>
      </c>
      <c r="C12" t="s">
        <v>7</v>
      </c>
      <c r="D12">
        <v>51</v>
      </c>
      <c r="E12">
        <v>48</v>
      </c>
      <c r="F12">
        <v>3</v>
      </c>
      <c r="G12">
        <v>10</v>
      </c>
      <c r="H12">
        <v>57</v>
      </c>
      <c r="I12">
        <v>5</v>
      </c>
      <c r="J12">
        <v>52.4</v>
      </c>
      <c r="K12">
        <v>43.7</v>
      </c>
      <c r="L12">
        <v>-1.3999999999999986</v>
      </c>
      <c r="M12">
        <v>508</v>
      </c>
      <c r="N12">
        <v>173</v>
      </c>
      <c r="O12">
        <v>5</v>
      </c>
      <c r="P12">
        <v>9</v>
      </c>
      <c r="Q12">
        <v>43</v>
      </c>
      <c r="R12">
        <v>8</v>
      </c>
      <c r="S12">
        <v>8</v>
      </c>
      <c r="T12">
        <v>72</v>
      </c>
      <c r="U12">
        <v>0</v>
      </c>
      <c r="V12">
        <v>5</v>
      </c>
      <c r="W12">
        <v>90</v>
      </c>
      <c r="X12">
        <v>1034</v>
      </c>
      <c r="Y12">
        <v>675</v>
      </c>
      <c r="Z12">
        <v>351</v>
      </c>
      <c r="AA12">
        <v>14640</v>
      </c>
      <c r="AB12">
        <v>88</v>
      </c>
      <c r="AC12">
        <v>2593</v>
      </c>
      <c r="AD12">
        <v>779</v>
      </c>
      <c r="AE12">
        <v>210</v>
      </c>
      <c r="AF12">
        <v>114.6</v>
      </c>
      <c r="AG12">
        <v>95.8</v>
      </c>
      <c r="AH12">
        <v>16</v>
      </c>
      <c r="AI12">
        <v>18</v>
      </c>
      <c r="AJ12">
        <v>434.1</v>
      </c>
      <c r="AK12">
        <v>37</v>
      </c>
      <c r="AL12">
        <v>11.732432432432432</v>
      </c>
      <c r="AM12">
        <v>31851</v>
      </c>
      <c r="AN12" s="5">
        <v>0.06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t="str">
        <f t="shared" si="0"/>
        <v>18/19</v>
      </c>
    </row>
    <row r="13" spans="1:46" x14ac:dyDescent="0.25">
      <c r="A13" t="s">
        <v>5</v>
      </c>
      <c r="B13">
        <v>10</v>
      </c>
      <c r="C13" t="s">
        <v>5</v>
      </c>
      <c r="D13">
        <v>52</v>
      </c>
      <c r="E13">
        <v>55</v>
      </c>
      <c r="F13">
        <v>-3</v>
      </c>
      <c r="G13">
        <v>7</v>
      </c>
      <c r="H13">
        <v>59</v>
      </c>
      <c r="I13">
        <v>1</v>
      </c>
      <c r="J13">
        <v>47.6</v>
      </c>
      <c r="K13">
        <v>61.9</v>
      </c>
      <c r="L13">
        <v>4.3999999999999986</v>
      </c>
      <c r="M13">
        <v>436</v>
      </c>
      <c r="N13">
        <v>149</v>
      </c>
      <c r="O13">
        <v>5</v>
      </c>
      <c r="P13">
        <v>10</v>
      </c>
      <c r="Q13">
        <v>47</v>
      </c>
      <c r="R13">
        <v>5</v>
      </c>
      <c r="S13">
        <v>3</v>
      </c>
      <c r="T13">
        <v>71</v>
      </c>
      <c r="U13">
        <v>1</v>
      </c>
      <c r="V13">
        <v>5</v>
      </c>
      <c r="W13">
        <v>143</v>
      </c>
      <c r="X13">
        <v>926</v>
      </c>
      <c r="Y13">
        <v>723</v>
      </c>
      <c r="Z13">
        <v>331</v>
      </c>
      <c r="AA13">
        <v>13847</v>
      </c>
      <c r="AB13">
        <v>75</v>
      </c>
      <c r="AC13">
        <v>2273</v>
      </c>
      <c r="AD13">
        <v>631</v>
      </c>
      <c r="AE13">
        <v>188</v>
      </c>
      <c r="AF13">
        <v>100.9</v>
      </c>
      <c r="AG13">
        <v>13.77</v>
      </c>
      <c r="AH13">
        <v>18</v>
      </c>
      <c r="AI13">
        <v>13</v>
      </c>
      <c r="AJ13">
        <v>359</v>
      </c>
      <c r="AK13">
        <v>37</v>
      </c>
      <c r="AL13">
        <v>9.7027027027027035</v>
      </c>
      <c r="AM13">
        <v>58336</v>
      </c>
      <c r="AN13" s="5">
        <v>0.13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t="str">
        <f t="shared" si="0"/>
        <v>18/19</v>
      </c>
    </row>
    <row r="14" spans="1:46" x14ac:dyDescent="0.25">
      <c r="A14" t="s">
        <v>18</v>
      </c>
      <c r="B14">
        <v>11</v>
      </c>
      <c r="C14" t="s">
        <v>18</v>
      </c>
      <c r="D14">
        <v>52</v>
      </c>
      <c r="E14">
        <v>59</v>
      </c>
      <c r="F14">
        <v>-7</v>
      </c>
      <c r="G14">
        <v>7</v>
      </c>
      <c r="H14">
        <v>77</v>
      </c>
      <c r="I14">
        <v>4</v>
      </c>
      <c r="J14">
        <v>48.2</v>
      </c>
      <c r="K14">
        <v>59.2</v>
      </c>
      <c r="L14">
        <v>3.7999999999999972</v>
      </c>
      <c r="M14">
        <v>436</v>
      </c>
      <c r="N14">
        <v>148</v>
      </c>
      <c r="O14">
        <v>1</v>
      </c>
      <c r="P14">
        <v>8</v>
      </c>
      <c r="Q14">
        <v>44</v>
      </c>
      <c r="R14">
        <v>8</v>
      </c>
      <c r="S14">
        <v>3</v>
      </c>
      <c r="T14">
        <v>89</v>
      </c>
      <c r="U14">
        <v>3</v>
      </c>
      <c r="V14">
        <v>5</v>
      </c>
      <c r="W14">
        <v>123</v>
      </c>
      <c r="X14">
        <v>1022</v>
      </c>
      <c r="Y14">
        <v>656</v>
      </c>
      <c r="Z14">
        <v>433</v>
      </c>
      <c r="AA14">
        <v>12550</v>
      </c>
      <c r="AB14">
        <v>32</v>
      </c>
      <c r="AC14">
        <v>2314</v>
      </c>
      <c r="AD14">
        <v>570</v>
      </c>
      <c r="AE14">
        <v>177</v>
      </c>
      <c r="AF14">
        <v>30.1</v>
      </c>
      <c r="AG14">
        <v>51.84</v>
      </c>
      <c r="AH14">
        <v>26</v>
      </c>
      <c r="AI14">
        <v>27</v>
      </c>
      <c r="AJ14">
        <v>239.1</v>
      </c>
      <c r="AK14">
        <v>39</v>
      </c>
      <c r="AL14">
        <v>6.1307692307692303</v>
      </c>
      <c r="AM14">
        <v>20016</v>
      </c>
      <c r="AN14" s="5">
        <v>0.03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t="str">
        <f t="shared" si="0"/>
        <v>18/19</v>
      </c>
    </row>
    <row r="15" spans="1:46" x14ac:dyDescent="0.25">
      <c r="A15" t="s">
        <v>9</v>
      </c>
      <c r="B15">
        <v>12</v>
      </c>
      <c r="C15" t="s">
        <v>9</v>
      </c>
      <c r="D15">
        <v>51</v>
      </c>
      <c r="E15">
        <v>53</v>
      </c>
      <c r="F15">
        <v>-2</v>
      </c>
      <c r="G15">
        <v>12</v>
      </c>
      <c r="H15">
        <v>58</v>
      </c>
      <c r="I15">
        <v>2</v>
      </c>
      <c r="J15">
        <v>47.6</v>
      </c>
      <c r="K15">
        <v>50.1</v>
      </c>
      <c r="L15">
        <v>3.3999999999999986</v>
      </c>
      <c r="M15">
        <v>482</v>
      </c>
      <c r="N15">
        <v>135</v>
      </c>
      <c r="O15">
        <v>10</v>
      </c>
      <c r="P15">
        <v>5</v>
      </c>
      <c r="Q15">
        <v>43</v>
      </c>
      <c r="R15">
        <v>8</v>
      </c>
      <c r="S15">
        <v>2</v>
      </c>
      <c r="T15">
        <v>78</v>
      </c>
      <c r="U15">
        <v>1</v>
      </c>
      <c r="V15">
        <v>5</v>
      </c>
      <c r="W15">
        <v>110</v>
      </c>
      <c r="X15">
        <v>1011</v>
      </c>
      <c r="Y15">
        <v>733</v>
      </c>
      <c r="Z15">
        <v>386</v>
      </c>
      <c r="AA15">
        <v>12697</v>
      </c>
      <c r="AB15">
        <v>26</v>
      </c>
      <c r="AC15">
        <v>2233</v>
      </c>
      <c r="AD15">
        <v>577</v>
      </c>
      <c r="AE15">
        <v>205</v>
      </c>
      <c r="AF15">
        <v>11.85</v>
      </c>
      <c r="AG15">
        <v>0.35</v>
      </c>
      <c r="AH15">
        <v>11</v>
      </c>
      <c r="AI15">
        <v>16</v>
      </c>
      <c r="AJ15">
        <v>289</v>
      </c>
      <c r="AK15">
        <v>36</v>
      </c>
      <c r="AL15">
        <v>8.0277777777777786</v>
      </c>
      <c r="AM15">
        <v>25455</v>
      </c>
      <c r="AN15" s="5">
        <v>-0.06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t="str">
        <f t="shared" si="0"/>
        <v>18/19</v>
      </c>
    </row>
    <row r="16" spans="1:46" x14ac:dyDescent="0.25">
      <c r="A16" t="s">
        <v>12</v>
      </c>
      <c r="B16">
        <v>13</v>
      </c>
      <c r="C16" t="s">
        <v>12</v>
      </c>
      <c r="D16">
        <v>42</v>
      </c>
      <c r="E16">
        <v>48</v>
      </c>
      <c r="F16">
        <v>-6</v>
      </c>
      <c r="G16">
        <v>11</v>
      </c>
      <c r="H16">
        <v>57</v>
      </c>
      <c r="I16">
        <v>2</v>
      </c>
      <c r="J16">
        <v>39.1</v>
      </c>
      <c r="K16">
        <v>53.6</v>
      </c>
      <c r="L16">
        <v>2.8999999999999986</v>
      </c>
      <c r="M16">
        <v>443</v>
      </c>
      <c r="N16">
        <v>136</v>
      </c>
      <c r="O16">
        <v>1</v>
      </c>
      <c r="P16">
        <v>12</v>
      </c>
      <c r="Q16">
        <v>40</v>
      </c>
      <c r="R16">
        <v>2</v>
      </c>
      <c r="S16">
        <v>1</v>
      </c>
      <c r="T16">
        <v>59</v>
      </c>
      <c r="U16">
        <v>1</v>
      </c>
      <c r="V16">
        <v>6</v>
      </c>
      <c r="W16">
        <v>93</v>
      </c>
      <c r="X16">
        <v>1204</v>
      </c>
      <c r="Y16">
        <v>711</v>
      </c>
      <c r="Z16">
        <v>423</v>
      </c>
      <c r="AA16">
        <v>10774</v>
      </c>
      <c r="AB16">
        <v>50</v>
      </c>
      <c r="AC16">
        <v>1999</v>
      </c>
      <c r="AD16">
        <v>711</v>
      </c>
      <c r="AE16">
        <v>181</v>
      </c>
      <c r="AF16">
        <v>59.45</v>
      </c>
      <c r="AG16">
        <v>54.05</v>
      </c>
      <c r="AH16">
        <v>22</v>
      </c>
      <c r="AI16">
        <v>23</v>
      </c>
      <c r="AJ16">
        <v>244.65</v>
      </c>
      <c r="AK16">
        <v>37</v>
      </c>
      <c r="AL16">
        <v>6.6121621621621625</v>
      </c>
      <c r="AM16">
        <v>51121</v>
      </c>
      <c r="AN16" s="5">
        <v>0.05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t="str">
        <f t="shared" si="0"/>
        <v>18/19</v>
      </c>
    </row>
    <row r="17" spans="1:46" x14ac:dyDescent="0.25">
      <c r="A17" t="s">
        <v>85</v>
      </c>
      <c r="B17">
        <v>14</v>
      </c>
      <c r="C17" t="s">
        <v>31</v>
      </c>
      <c r="D17">
        <v>56</v>
      </c>
      <c r="E17">
        <v>70</v>
      </c>
      <c r="F17">
        <v>-14</v>
      </c>
      <c r="G17">
        <v>10</v>
      </c>
      <c r="H17">
        <v>60</v>
      </c>
      <c r="I17">
        <v>1</v>
      </c>
      <c r="J17">
        <v>53.3</v>
      </c>
      <c r="K17">
        <v>57.2</v>
      </c>
      <c r="L17">
        <v>2.7000000000000028</v>
      </c>
      <c r="M17">
        <v>437</v>
      </c>
      <c r="N17">
        <v>153</v>
      </c>
      <c r="O17">
        <v>7</v>
      </c>
      <c r="P17">
        <v>11</v>
      </c>
      <c r="Q17">
        <v>50</v>
      </c>
      <c r="R17">
        <v>6</v>
      </c>
      <c r="S17">
        <v>9</v>
      </c>
      <c r="T17">
        <v>57</v>
      </c>
      <c r="U17">
        <v>3</v>
      </c>
      <c r="V17">
        <v>5</v>
      </c>
      <c r="W17">
        <v>106</v>
      </c>
      <c r="X17">
        <v>1098</v>
      </c>
      <c r="Y17">
        <v>525</v>
      </c>
      <c r="Z17">
        <v>340</v>
      </c>
      <c r="AA17">
        <v>13505</v>
      </c>
      <c r="AB17">
        <v>57</v>
      </c>
      <c r="AC17">
        <v>2249</v>
      </c>
      <c r="AD17">
        <v>613</v>
      </c>
      <c r="AE17">
        <v>191</v>
      </c>
      <c r="AF17">
        <v>89.1</v>
      </c>
      <c r="AG17">
        <v>20.2</v>
      </c>
      <c r="AH17">
        <v>14</v>
      </c>
      <c r="AI17">
        <v>16</v>
      </c>
      <c r="AJ17">
        <v>310</v>
      </c>
      <c r="AK17">
        <v>37</v>
      </c>
      <c r="AL17">
        <v>8.378378378378379</v>
      </c>
      <c r="AM17">
        <v>10532</v>
      </c>
      <c r="AN17" s="5">
        <v>0.18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t="str">
        <f t="shared" si="0"/>
        <v>18/19</v>
      </c>
    </row>
    <row r="18" spans="1:46" x14ac:dyDescent="0.25">
      <c r="A18" t="s">
        <v>17</v>
      </c>
      <c r="B18">
        <v>15</v>
      </c>
      <c r="C18" t="s">
        <v>17</v>
      </c>
      <c r="D18">
        <v>45</v>
      </c>
      <c r="E18">
        <v>68</v>
      </c>
      <c r="F18">
        <v>-23</v>
      </c>
      <c r="G18">
        <v>8</v>
      </c>
      <c r="H18">
        <v>75</v>
      </c>
      <c r="I18">
        <v>1</v>
      </c>
      <c r="J18">
        <v>44.4</v>
      </c>
      <c r="K18">
        <v>62.1</v>
      </c>
      <c r="L18">
        <v>0.60000000000000142</v>
      </c>
      <c r="M18">
        <v>358</v>
      </c>
      <c r="N18">
        <v>112</v>
      </c>
      <c r="O18">
        <v>2</v>
      </c>
      <c r="P18">
        <v>13</v>
      </c>
      <c r="Q18">
        <v>43</v>
      </c>
      <c r="R18">
        <v>2</v>
      </c>
      <c r="S18">
        <v>1</v>
      </c>
      <c r="T18">
        <v>106</v>
      </c>
      <c r="U18">
        <v>4</v>
      </c>
      <c r="V18">
        <v>3</v>
      </c>
      <c r="W18">
        <v>134</v>
      </c>
      <c r="X18">
        <v>1156</v>
      </c>
      <c r="Y18">
        <v>584</v>
      </c>
      <c r="Z18">
        <v>360</v>
      </c>
      <c r="AA18">
        <v>10134</v>
      </c>
      <c r="AB18">
        <v>35</v>
      </c>
      <c r="AC18">
        <v>2046</v>
      </c>
      <c r="AD18">
        <v>692</v>
      </c>
      <c r="AE18">
        <v>139</v>
      </c>
      <c r="AF18">
        <v>33</v>
      </c>
      <c r="AG18">
        <v>8</v>
      </c>
      <c r="AH18">
        <v>8</v>
      </c>
      <c r="AI18">
        <v>11</v>
      </c>
      <c r="AJ18">
        <v>197.25</v>
      </c>
      <c r="AK18">
        <v>33</v>
      </c>
      <c r="AL18">
        <v>5.9772727272727275</v>
      </c>
      <c r="AM18">
        <v>20534</v>
      </c>
      <c r="AN18" s="5">
        <v>7.0000000000000007E-2</v>
      </c>
      <c r="AO18" s="13">
        <v>1</v>
      </c>
      <c r="AP18" s="13">
        <v>0</v>
      </c>
      <c r="AQ18" s="13">
        <v>0</v>
      </c>
      <c r="AR18" s="13">
        <v>0</v>
      </c>
      <c r="AS18" s="13">
        <v>0</v>
      </c>
      <c r="AT18" t="str">
        <f t="shared" si="0"/>
        <v>18/19</v>
      </c>
    </row>
    <row r="19" spans="1:46" x14ac:dyDescent="0.25">
      <c r="A19" t="s">
        <v>11</v>
      </c>
      <c r="B19">
        <v>16</v>
      </c>
      <c r="C19" t="s">
        <v>11</v>
      </c>
      <c r="D19">
        <v>45</v>
      </c>
      <c r="E19">
        <v>65</v>
      </c>
      <c r="F19">
        <v>-20</v>
      </c>
      <c r="G19">
        <v>7</v>
      </c>
      <c r="H19">
        <v>71</v>
      </c>
      <c r="I19">
        <v>3</v>
      </c>
      <c r="J19">
        <v>46.9</v>
      </c>
      <c r="K19">
        <v>55.1</v>
      </c>
      <c r="L19">
        <v>-1.8999999999999986</v>
      </c>
      <c r="M19">
        <v>479</v>
      </c>
      <c r="N19">
        <v>155</v>
      </c>
      <c r="O19">
        <v>4</v>
      </c>
      <c r="P19">
        <v>4</v>
      </c>
      <c r="Q19">
        <v>31</v>
      </c>
      <c r="R19">
        <v>14</v>
      </c>
      <c r="S19">
        <v>1</v>
      </c>
      <c r="T19">
        <v>61</v>
      </c>
      <c r="U19">
        <v>3</v>
      </c>
      <c r="V19">
        <v>3</v>
      </c>
      <c r="W19">
        <v>112</v>
      </c>
      <c r="X19">
        <v>1128</v>
      </c>
      <c r="Y19">
        <v>698</v>
      </c>
      <c r="Z19">
        <v>420</v>
      </c>
      <c r="AA19">
        <v>11463</v>
      </c>
      <c r="AB19">
        <v>35</v>
      </c>
      <c r="AC19">
        <v>2040</v>
      </c>
      <c r="AD19">
        <v>666</v>
      </c>
      <c r="AE19">
        <v>193</v>
      </c>
      <c r="AF19">
        <v>62.25</v>
      </c>
      <c r="AG19">
        <v>26.1</v>
      </c>
      <c r="AH19">
        <v>16</v>
      </c>
      <c r="AI19">
        <v>18</v>
      </c>
      <c r="AJ19">
        <v>305.39999999999998</v>
      </c>
      <c r="AK19">
        <v>40</v>
      </c>
      <c r="AL19">
        <v>7.6349999999999998</v>
      </c>
      <c r="AM19">
        <v>30139</v>
      </c>
      <c r="AN19" s="5">
        <v>0.14000000000000001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t="str">
        <f t="shared" si="0"/>
        <v>18/19</v>
      </c>
    </row>
    <row r="20" spans="1:46" x14ac:dyDescent="0.25">
      <c r="A20" t="s">
        <v>14</v>
      </c>
      <c r="B20">
        <v>17</v>
      </c>
      <c r="C20" t="s">
        <v>14</v>
      </c>
      <c r="D20">
        <v>35</v>
      </c>
      <c r="E20">
        <v>60</v>
      </c>
      <c r="F20">
        <v>-25</v>
      </c>
      <c r="G20">
        <v>7</v>
      </c>
      <c r="H20">
        <v>60</v>
      </c>
      <c r="I20">
        <v>4</v>
      </c>
      <c r="J20">
        <v>35.299999999999997</v>
      </c>
      <c r="K20">
        <v>59.1</v>
      </c>
      <c r="L20">
        <v>-0.29999999999999716</v>
      </c>
      <c r="M20">
        <v>364</v>
      </c>
      <c r="N20">
        <v>99</v>
      </c>
      <c r="O20">
        <v>5</v>
      </c>
      <c r="P20">
        <v>10</v>
      </c>
      <c r="Q20">
        <v>34</v>
      </c>
      <c r="R20">
        <v>1</v>
      </c>
      <c r="S20">
        <v>4</v>
      </c>
      <c r="T20">
        <v>90</v>
      </c>
      <c r="U20">
        <v>0</v>
      </c>
      <c r="V20">
        <v>10</v>
      </c>
      <c r="W20">
        <v>110</v>
      </c>
      <c r="X20">
        <v>1001</v>
      </c>
      <c r="Y20">
        <v>679</v>
      </c>
      <c r="Z20">
        <v>463</v>
      </c>
      <c r="AA20">
        <v>11491</v>
      </c>
      <c r="AB20">
        <v>15</v>
      </c>
      <c r="AC20">
        <v>2072</v>
      </c>
      <c r="AD20">
        <v>636</v>
      </c>
      <c r="AE20">
        <v>156</v>
      </c>
      <c r="AF20">
        <v>87.12</v>
      </c>
      <c r="AG20">
        <v>13.62</v>
      </c>
      <c r="AH20">
        <v>28</v>
      </c>
      <c r="AI20">
        <v>29</v>
      </c>
      <c r="AJ20">
        <v>194.35</v>
      </c>
      <c r="AK20">
        <v>41</v>
      </c>
      <c r="AL20">
        <v>4.7402439024390244</v>
      </c>
      <c r="AM20">
        <v>30426</v>
      </c>
      <c r="AN20" s="5">
        <v>0.08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t="str">
        <f t="shared" si="0"/>
        <v>18/19</v>
      </c>
    </row>
    <row r="21" spans="1:46" x14ac:dyDescent="0.25">
      <c r="A21" t="s">
        <v>33</v>
      </c>
      <c r="B21">
        <v>18</v>
      </c>
      <c r="C21" t="s">
        <v>33</v>
      </c>
      <c r="D21">
        <v>34</v>
      </c>
      <c r="E21">
        <v>69</v>
      </c>
      <c r="F21">
        <v>-35</v>
      </c>
      <c r="G21">
        <v>10</v>
      </c>
      <c r="H21">
        <v>66</v>
      </c>
      <c r="I21">
        <v>1</v>
      </c>
      <c r="J21">
        <v>42.4</v>
      </c>
      <c r="K21">
        <v>61.5</v>
      </c>
      <c r="L21">
        <v>-8.3999999999999986</v>
      </c>
      <c r="M21">
        <v>413</v>
      </c>
      <c r="N21">
        <v>113</v>
      </c>
      <c r="O21">
        <v>3</v>
      </c>
      <c r="P21">
        <v>4</v>
      </c>
      <c r="Q21">
        <v>29</v>
      </c>
      <c r="R21">
        <v>5</v>
      </c>
      <c r="S21">
        <v>0</v>
      </c>
      <c r="T21">
        <v>77</v>
      </c>
      <c r="U21">
        <v>0</v>
      </c>
      <c r="V21">
        <v>7</v>
      </c>
      <c r="W21">
        <v>135</v>
      </c>
      <c r="X21">
        <v>1034</v>
      </c>
      <c r="Y21">
        <v>655</v>
      </c>
      <c r="Z21">
        <v>374</v>
      </c>
      <c r="AA21">
        <v>7170</v>
      </c>
      <c r="AB21">
        <v>39</v>
      </c>
      <c r="AC21">
        <v>1418</v>
      </c>
      <c r="AD21">
        <v>562</v>
      </c>
      <c r="AE21">
        <v>168</v>
      </c>
      <c r="AF21">
        <v>51.2</v>
      </c>
      <c r="AG21">
        <v>0</v>
      </c>
      <c r="AH21">
        <v>18</v>
      </c>
      <c r="AI21">
        <v>18</v>
      </c>
      <c r="AJ21">
        <v>113</v>
      </c>
      <c r="AK21">
        <v>35</v>
      </c>
      <c r="AL21">
        <v>3.2285714285714286</v>
      </c>
      <c r="AM21">
        <v>31408</v>
      </c>
      <c r="AN21" s="5">
        <v>0.08</v>
      </c>
      <c r="AO21" s="13">
        <v>0</v>
      </c>
      <c r="AP21" s="13">
        <v>1</v>
      </c>
      <c r="AQ21" s="13">
        <v>0</v>
      </c>
      <c r="AR21" s="13">
        <v>1</v>
      </c>
      <c r="AS21" s="13">
        <v>0</v>
      </c>
      <c r="AT21" t="str">
        <f t="shared" si="0"/>
        <v>18/19</v>
      </c>
    </row>
    <row r="22" spans="1:46" x14ac:dyDescent="0.25">
      <c r="A22" t="s">
        <v>27</v>
      </c>
      <c r="B22">
        <v>19</v>
      </c>
      <c r="C22" t="s">
        <v>27</v>
      </c>
      <c r="D22">
        <v>34</v>
      </c>
      <c r="E22">
        <v>81</v>
      </c>
      <c r="F22">
        <v>-47</v>
      </c>
      <c r="G22">
        <v>5</v>
      </c>
      <c r="H22">
        <v>68</v>
      </c>
      <c r="I22">
        <v>2</v>
      </c>
      <c r="J22">
        <v>41.3</v>
      </c>
      <c r="K22">
        <v>68.2</v>
      </c>
      <c r="L22">
        <v>-7.2999999999999972</v>
      </c>
      <c r="M22">
        <v>451</v>
      </c>
      <c r="N22">
        <v>140</v>
      </c>
      <c r="O22">
        <v>2</v>
      </c>
      <c r="P22">
        <v>7</v>
      </c>
      <c r="Q22">
        <v>30</v>
      </c>
      <c r="R22">
        <v>4</v>
      </c>
      <c r="S22">
        <v>2</v>
      </c>
      <c r="T22">
        <v>90</v>
      </c>
      <c r="U22">
        <v>2</v>
      </c>
      <c r="V22">
        <v>7</v>
      </c>
      <c r="W22">
        <v>146</v>
      </c>
      <c r="X22">
        <v>1030</v>
      </c>
      <c r="Y22">
        <v>596</v>
      </c>
      <c r="Z22">
        <v>423</v>
      </c>
      <c r="AA22">
        <v>15096</v>
      </c>
      <c r="AB22">
        <v>33</v>
      </c>
      <c r="AC22">
        <v>2750</v>
      </c>
      <c r="AD22">
        <v>611</v>
      </c>
      <c r="AE22">
        <v>161</v>
      </c>
      <c r="AF22">
        <v>116.5</v>
      </c>
      <c r="AG22">
        <v>5.35</v>
      </c>
      <c r="AH22">
        <v>18</v>
      </c>
      <c r="AI22">
        <v>11</v>
      </c>
      <c r="AJ22">
        <v>254.25</v>
      </c>
      <c r="AK22">
        <v>33</v>
      </c>
      <c r="AL22">
        <v>7.7045454545454541</v>
      </c>
      <c r="AM22">
        <v>24371</v>
      </c>
      <c r="AN22" s="5">
        <v>0.21</v>
      </c>
      <c r="AO22" s="13">
        <v>0</v>
      </c>
      <c r="AP22" s="13">
        <v>1</v>
      </c>
      <c r="AQ22" s="13">
        <v>0</v>
      </c>
      <c r="AR22" s="13">
        <v>1</v>
      </c>
      <c r="AS22" s="13">
        <v>0</v>
      </c>
      <c r="AT22" t="str">
        <f t="shared" si="0"/>
        <v>18/19</v>
      </c>
    </row>
    <row r="23" spans="1:46" x14ac:dyDescent="0.25">
      <c r="A23" t="s">
        <v>34</v>
      </c>
      <c r="B23">
        <v>20</v>
      </c>
      <c r="C23" t="s">
        <v>34</v>
      </c>
      <c r="D23">
        <v>22</v>
      </c>
      <c r="E23">
        <v>76</v>
      </c>
      <c r="F23">
        <v>-54</v>
      </c>
      <c r="G23">
        <v>5</v>
      </c>
      <c r="H23">
        <v>55</v>
      </c>
      <c r="I23">
        <v>4</v>
      </c>
      <c r="J23">
        <v>28.8</v>
      </c>
      <c r="K23">
        <v>60.9</v>
      </c>
      <c r="L23">
        <v>-6.8000000000000007</v>
      </c>
      <c r="M23">
        <v>400</v>
      </c>
      <c r="N23">
        <v>116</v>
      </c>
      <c r="O23">
        <v>1</v>
      </c>
      <c r="P23">
        <v>8</v>
      </c>
      <c r="Q23">
        <v>17</v>
      </c>
      <c r="R23">
        <v>5</v>
      </c>
      <c r="S23">
        <v>1</v>
      </c>
      <c r="T23">
        <v>63</v>
      </c>
      <c r="U23">
        <v>1</v>
      </c>
      <c r="V23">
        <v>8</v>
      </c>
      <c r="W23">
        <v>110</v>
      </c>
      <c r="X23">
        <v>682</v>
      </c>
      <c r="Y23">
        <v>708</v>
      </c>
      <c r="Z23">
        <v>420</v>
      </c>
      <c r="AA23">
        <v>13045</v>
      </c>
      <c r="AB23">
        <v>23</v>
      </c>
      <c r="AC23">
        <v>2492</v>
      </c>
      <c r="AD23">
        <v>768</v>
      </c>
      <c r="AE23">
        <v>162</v>
      </c>
      <c r="AF23">
        <v>50.7</v>
      </c>
      <c r="AG23">
        <v>12.33</v>
      </c>
      <c r="AH23">
        <v>14</v>
      </c>
      <c r="AI23">
        <v>16</v>
      </c>
      <c r="AJ23">
        <v>137.44999999999999</v>
      </c>
      <c r="AK23">
        <v>33</v>
      </c>
      <c r="AL23">
        <v>4.165151515151515</v>
      </c>
      <c r="AM23">
        <v>23203</v>
      </c>
      <c r="AN23" s="5">
        <v>0.05</v>
      </c>
      <c r="AO23" s="13">
        <v>0</v>
      </c>
      <c r="AP23" s="13">
        <v>0</v>
      </c>
      <c r="AQ23" s="13">
        <v>0</v>
      </c>
      <c r="AR23" s="13">
        <v>1</v>
      </c>
      <c r="AS23" s="13">
        <v>0</v>
      </c>
      <c r="AT23" t="str">
        <f t="shared" si="0"/>
        <v>18/19</v>
      </c>
    </row>
  </sheetData>
  <mergeCells count="5">
    <mergeCell ref="D2:L2"/>
    <mergeCell ref="M2:T2"/>
    <mergeCell ref="U2:Z2"/>
    <mergeCell ref="AA2:AE2"/>
    <mergeCell ref="AF2:AN2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4DFA-5108-E748-8CA6-A94AA896F38D}">
  <dimension ref="A2:AT23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7" sqref="L7"/>
    </sheetView>
  </sheetViews>
  <sheetFormatPr baseColWidth="10" defaultColWidth="11.125" defaultRowHeight="15.75" x14ac:dyDescent="0.25"/>
  <cols>
    <col min="2" max="2" width="17.125" bestFit="1" customWidth="1"/>
    <col min="3" max="3" width="24.125" bestFit="1" customWidth="1"/>
    <col min="4" max="4" width="12" bestFit="1" customWidth="1"/>
    <col min="5" max="6" width="12" customWidth="1"/>
    <col min="7" max="7" width="15" bestFit="1" customWidth="1"/>
    <col min="8" max="8" width="16.375" bestFit="1" customWidth="1"/>
    <col min="9" max="9" width="12.875" bestFit="1" customWidth="1"/>
    <col min="10" max="10" width="28.625" bestFit="1" customWidth="1"/>
    <col min="11" max="11" width="31.125" customWidth="1"/>
    <col min="12" max="12" width="31.125" bestFit="1" customWidth="1"/>
  </cols>
  <sheetData>
    <row r="2" spans="1:46" x14ac:dyDescent="0.25">
      <c r="B2" t="s">
        <v>30</v>
      </c>
      <c r="D2" s="99" t="s">
        <v>79</v>
      </c>
      <c r="E2" s="99"/>
      <c r="F2" s="99"/>
      <c r="G2" s="99"/>
      <c r="H2" s="99"/>
      <c r="I2" s="99"/>
      <c r="J2" s="99"/>
      <c r="K2" s="99"/>
      <c r="L2" s="99"/>
      <c r="M2" s="100" t="s">
        <v>80</v>
      </c>
      <c r="N2" s="100"/>
      <c r="O2" s="100"/>
      <c r="P2" s="100"/>
      <c r="Q2" s="100"/>
      <c r="R2" s="100"/>
      <c r="S2" s="100"/>
      <c r="T2" s="100"/>
      <c r="U2" s="101" t="s">
        <v>81</v>
      </c>
      <c r="V2" s="101"/>
      <c r="W2" s="101"/>
      <c r="X2" s="101"/>
      <c r="Y2" s="101"/>
      <c r="Z2" s="101"/>
      <c r="AA2" s="102" t="s">
        <v>82</v>
      </c>
      <c r="AB2" s="102"/>
      <c r="AC2" s="102"/>
      <c r="AD2" s="102"/>
      <c r="AE2" s="102"/>
      <c r="AF2" s="103" t="s">
        <v>83</v>
      </c>
      <c r="AG2" s="103"/>
      <c r="AH2" s="103"/>
      <c r="AI2" s="103"/>
      <c r="AJ2" s="103"/>
      <c r="AK2" s="103"/>
      <c r="AL2" s="103"/>
      <c r="AM2" s="103"/>
      <c r="AN2" s="103"/>
      <c r="AO2" s="9"/>
      <c r="AP2" s="9"/>
      <c r="AQ2" s="9"/>
      <c r="AR2" s="9"/>
      <c r="AS2" s="9"/>
    </row>
    <row r="3" spans="1:46" x14ac:dyDescent="0.25">
      <c r="B3" t="s">
        <v>0</v>
      </c>
      <c r="C3" t="s">
        <v>24</v>
      </c>
      <c r="D3" t="s">
        <v>20</v>
      </c>
      <c r="E3" t="s">
        <v>42</v>
      </c>
      <c r="F3" t="s">
        <v>43</v>
      </c>
      <c r="G3" t="s">
        <v>21</v>
      </c>
      <c r="H3" t="s">
        <v>22</v>
      </c>
      <c r="I3" t="s">
        <v>23</v>
      </c>
      <c r="J3" s="15" t="s">
        <v>46</v>
      </c>
      <c r="K3" s="15" t="s">
        <v>47</v>
      </c>
      <c r="L3" s="15" t="s">
        <v>53</v>
      </c>
      <c r="M3" s="15" t="s">
        <v>55</v>
      </c>
      <c r="N3" s="15" t="s">
        <v>54</v>
      </c>
      <c r="O3" s="15" t="s">
        <v>56</v>
      </c>
      <c r="P3" t="s">
        <v>57</v>
      </c>
      <c r="Q3" t="s">
        <v>58</v>
      </c>
      <c r="R3" t="s">
        <v>59</v>
      </c>
      <c r="S3" t="s">
        <v>60</v>
      </c>
      <c r="T3" s="15" t="s">
        <v>63</v>
      </c>
      <c r="U3" s="15" t="s">
        <v>61</v>
      </c>
      <c r="V3" s="15" t="s">
        <v>62</v>
      </c>
      <c r="W3" s="15" t="s">
        <v>64</v>
      </c>
      <c r="X3" s="15" t="s">
        <v>65</v>
      </c>
      <c r="Y3" s="15" t="s">
        <v>66</v>
      </c>
      <c r="Z3" s="15" t="s">
        <v>67</v>
      </c>
      <c r="AA3" s="15" t="s">
        <v>68</v>
      </c>
      <c r="AB3" s="15" t="s">
        <v>69</v>
      </c>
      <c r="AC3" t="s">
        <v>70</v>
      </c>
      <c r="AD3" s="15" t="s">
        <v>71</v>
      </c>
      <c r="AE3" s="15" t="s">
        <v>72</v>
      </c>
      <c r="AF3" t="s">
        <v>44</v>
      </c>
      <c r="AG3" t="s">
        <v>45</v>
      </c>
      <c r="AH3" t="s">
        <v>73</v>
      </c>
      <c r="AI3" t="s">
        <v>74</v>
      </c>
      <c r="AJ3" t="s">
        <v>51</v>
      </c>
      <c r="AK3" t="s">
        <v>75</v>
      </c>
      <c r="AL3" t="s">
        <v>76</v>
      </c>
      <c r="AM3" s="15" t="s">
        <v>77</v>
      </c>
      <c r="AN3" t="s">
        <v>78</v>
      </c>
      <c r="AO3" t="s">
        <v>101</v>
      </c>
      <c r="AP3" t="s">
        <v>102</v>
      </c>
      <c r="AQ3" t="s">
        <v>104</v>
      </c>
      <c r="AR3" t="s">
        <v>105</v>
      </c>
      <c r="AS3" t="s">
        <v>106</v>
      </c>
      <c r="AT3" t="s">
        <v>92</v>
      </c>
    </row>
    <row r="4" spans="1:46" x14ac:dyDescent="0.25">
      <c r="A4" t="s">
        <v>1</v>
      </c>
      <c r="B4">
        <v>1</v>
      </c>
      <c r="C4" t="s">
        <v>1</v>
      </c>
      <c r="D4">
        <v>85</v>
      </c>
      <c r="E4">
        <v>33</v>
      </c>
      <c r="F4">
        <f t="shared" ref="F4:F23" si="0">D4-E4</f>
        <v>52</v>
      </c>
      <c r="G4">
        <v>15</v>
      </c>
      <c r="H4">
        <v>38</v>
      </c>
      <c r="I4">
        <v>1</v>
      </c>
      <c r="J4">
        <v>68.900000000000006</v>
      </c>
      <c r="K4">
        <v>37.700000000000003</v>
      </c>
      <c r="L4">
        <v>16.099999999999994</v>
      </c>
      <c r="M4">
        <v>586</v>
      </c>
      <c r="N4">
        <v>224</v>
      </c>
      <c r="O4">
        <v>5</v>
      </c>
      <c r="P4">
        <v>19</v>
      </c>
      <c r="Q4">
        <v>72</v>
      </c>
      <c r="R4">
        <v>14</v>
      </c>
      <c r="S4">
        <v>11</v>
      </c>
      <c r="T4">
        <v>53</v>
      </c>
      <c r="U4">
        <v>1</v>
      </c>
      <c r="V4">
        <v>1</v>
      </c>
      <c r="W4">
        <v>75</v>
      </c>
      <c r="X4">
        <v>634</v>
      </c>
      <c r="Y4">
        <v>550</v>
      </c>
      <c r="Z4">
        <v>331</v>
      </c>
      <c r="AA4">
        <v>21276</v>
      </c>
      <c r="AB4">
        <v>68</v>
      </c>
      <c r="AC4">
        <v>3395</v>
      </c>
      <c r="AD4">
        <v>896</v>
      </c>
      <c r="AE4">
        <v>257</v>
      </c>
      <c r="AF4">
        <v>10.4</v>
      </c>
      <c r="AG4">
        <v>44.5</v>
      </c>
      <c r="AH4">
        <v>15</v>
      </c>
      <c r="AI4">
        <v>16</v>
      </c>
      <c r="AJ4">
        <v>1000</v>
      </c>
      <c r="AK4">
        <v>56</v>
      </c>
      <c r="AL4">
        <f>AJ4/AK4</f>
        <v>17.857142857142858</v>
      </c>
      <c r="AM4">
        <v>41955</v>
      </c>
      <c r="AN4" s="5">
        <v>0.13</v>
      </c>
      <c r="AO4" s="13">
        <v>1</v>
      </c>
      <c r="AP4" s="13">
        <v>0</v>
      </c>
      <c r="AQ4" s="13">
        <v>1</v>
      </c>
      <c r="AR4" s="13">
        <v>0</v>
      </c>
      <c r="AS4" s="13">
        <v>1</v>
      </c>
      <c r="AT4" t="s">
        <v>97</v>
      </c>
    </row>
    <row r="5" spans="1:46" x14ac:dyDescent="0.25">
      <c r="A5" t="s">
        <v>25</v>
      </c>
      <c r="B5">
        <v>2</v>
      </c>
      <c r="C5" t="s">
        <v>25</v>
      </c>
      <c r="D5">
        <v>102</v>
      </c>
      <c r="E5">
        <v>35</v>
      </c>
      <c r="F5">
        <f t="shared" si="0"/>
        <v>67</v>
      </c>
      <c r="G5">
        <v>17</v>
      </c>
      <c r="H5">
        <v>60</v>
      </c>
      <c r="I5">
        <v>4</v>
      </c>
      <c r="J5">
        <v>92</v>
      </c>
      <c r="K5">
        <v>36.200000000000003</v>
      </c>
      <c r="L5">
        <v>10</v>
      </c>
      <c r="M5">
        <v>735</v>
      </c>
      <c r="N5">
        <v>250</v>
      </c>
      <c r="O5">
        <v>6</v>
      </c>
      <c r="P5">
        <v>11</v>
      </c>
      <c r="Q5">
        <v>85</v>
      </c>
      <c r="R5">
        <v>18</v>
      </c>
      <c r="S5">
        <v>4</v>
      </c>
      <c r="T5">
        <v>68</v>
      </c>
      <c r="U5">
        <v>1</v>
      </c>
      <c r="V5">
        <v>3</v>
      </c>
      <c r="W5">
        <v>76</v>
      </c>
      <c r="X5">
        <v>495</v>
      </c>
      <c r="Y5">
        <v>514</v>
      </c>
      <c r="Z5">
        <v>362</v>
      </c>
      <c r="AA5">
        <v>24557</v>
      </c>
      <c r="AB5">
        <v>85</v>
      </c>
      <c r="AC5">
        <v>4216</v>
      </c>
      <c r="AD5">
        <v>915</v>
      </c>
      <c r="AE5">
        <v>298</v>
      </c>
      <c r="AF5">
        <v>159.52000000000001</v>
      </c>
      <c r="AG5">
        <v>71</v>
      </c>
      <c r="AH5">
        <v>25</v>
      </c>
      <c r="AI5">
        <v>26</v>
      </c>
      <c r="AJ5">
        <v>1050</v>
      </c>
      <c r="AK5">
        <v>34</v>
      </c>
      <c r="AL5">
        <f t="shared" ref="AL5:AL23" si="1">AJ5/AK5</f>
        <v>30.882352941176471</v>
      </c>
      <c r="AM5">
        <v>37097</v>
      </c>
      <c r="AN5" s="5">
        <v>0.19</v>
      </c>
      <c r="AO5" s="13">
        <v>1</v>
      </c>
      <c r="AP5" s="13">
        <v>0</v>
      </c>
      <c r="AQ5" s="13">
        <v>1</v>
      </c>
      <c r="AR5" s="13">
        <v>0</v>
      </c>
      <c r="AS5" s="13">
        <v>1</v>
      </c>
      <c r="AT5" t="str">
        <f>AT4</f>
        <v>19/20</v>
      </c>
    </row>
    <row r="6" spans="1:46" x14ac:dyDescent="0.25">
      <c r="A6" t="s">
        <v>4</v>
      </c>
      <c r="B6">
        <v>3</v>
      </c>
      <c r="C6" t="s">
        <v>4</v>
      </c>
      <c r="D6">
        <v>66</v>
      </c>
      <c r="E6">
        <v>36</v>
      </c>
      <c r="F6">
        <f t="shared" si="0"/>
        <v>30</v>
      </c>
      <c r="G6">
        <v>13</v>
      </c>
      <c r="H6">
        <v>73</v>
      </c>
      <c r="I6">
        <v>0</v>
      </c>
      <c r="J6">
        <v>62.2</v>
      </c>
      <c r="K6">
        <v>37.700000000000003</v>
      </c>
      <c r="L6">
        <v>3.7999999999999972</v>
      </c>
      <c r="M6">
        <v>530</v>
      </c>
      <c r="N6">
        <v>201</v>
      </c>
      <c r="O6">
        <v>10</v>
      </c>
      <c r="P6">
        <v>5</v>
      </c>
      <c r="Q6">
        <v>54</v>
      </c>
      <c r="R6">
        <v>12</v>
      </c>
      <c r="S6">
        <v>6</v>
      </c>
      <c r="T6">
        <v>56</v>
      </c>
      <c r="U6">
        <v>1</v>
      </c>
      <c r="V6">
        <v>3</v>
      </c>
      <c r="W6">
        <v>96</v>
      </c>
      <c r="X6">
        <v>703</v>
      </c>
      <c r="Y6">
        <v>579</v>
      </c>
      <c r="Z6">
        <v>423</v>
      </c>
      <c r="AA6">
        <v>17744</v>
      </c>
      <c r="AB6">
        <v>64</v>
      </c>
      <c r="AC6">
        <v>2790</v>
      </c>
      <c r="AD6">
        <v>635</v>
      </c>
      <c r="AE6">
        <v>204</v>
      </c>
      <c r="AF6">
        <v>234.8</v>
      </c>
      <c r="AG6">
        <v>81.180000000000007</v>
      </c>
      <c r="AH6">
        <v>13</v>
      </c>
      <c r="AI6">
        <v>12</v>
      </c>
      <c r="AJ6">
        <v>670.45</v>
      </c>
      <c r="AK6">
        <v>43</v>
      </c>
      <c r="AL6">
        <f t="shared" si="1"/>
        <v>15.59186046511628</v>
      </c>
      <c r="AM6">
        <v>57415</v>
      </c>
      <c r="AN6" s="5">
        <v>0.14000000000000001</v>
      </c>
      <c r="AO6" s="13">
        <v>1</v>
      </c>
      <c r="AP6" s="13">
        <v>0</v>
      </c>
      <c r="AQ6" s="13">
        <v>1</v>
      </c>
      <c r="AR6" s="13">
        <v>0</v>
      </c>
      <c r="AS6" s="13">
        <v>1</v>
      </c>
      <c r="AT6" t="str">
        <f t="shared" ref="AT6:AT23" si="2">AT5</f>
        <v>19/20</v>
      </c>
    </row>
    <row r="7" spans="1:46" x14ac:dyDescent="0.25">
      <c r="A7" t="s">
        <v>2</v>
      </c>
      <c r="B7">
        <v>4</v>
      </c>
      <c r="C7" t="s">
        <v>2</v>
      </c>
      <c r="D7">
        <v>69</v>
      </c>
      <c r="E7">
        <v>54</v>
      </c>
      <c r="F7">
        <f t="shared" si="0"/>
        <v>15</v>
      </c>
      <c r="G7">
        <v>9</v>
      </c>
      <c r="H7">
        <v>60</v>
      </c>
      <c r="I7">
        <v>0</v>
      </c>
      <c r="J7">
        <v>69.2</v>
      </c>
      <c r="K7">
        <v>38.6</v>
      </c>
      <c r="L7">
        <v>-0.20000000000000284</v>
      </c>
      <c r="M7">
        <v>618</v>
      </c>
      <c r="N7">
        <v>210</v>
      </c>
      <c r="O7">
        <v>7</v>
      </c>
      <c r="P7">
        <v>9</v>
      </c>
      <c r="Q7">
        <v>59</v>
      </c>
      <c r="R7">
        <v>10</v>
      </c>
      <c r="S7">
        <v>8</v>
      </c>
      <c r="T7">
        <v>63</v>
      </c>
      <c r="U7">
        <v>3</v>
      </c>
      <c r="V7">
        <v>2</v>
      </c>
      <c r="W7">
        <v>64</v>
      </c>
      <c r="X7">
        <v>631</v>
      </c>
      <c r="Y7">
        <v>638</v>
      </c>
      <c r="Z7">
        <v>386</v>
      </c>
      <c r="AA7">
        <v>20958</v>
      </c>
      <c r="AB7">
        <v>61</v>
      </c>
      <c r="AC7">
        <v>3668</v>
      </c>
      <c r="AD7">
        <v>862</v>
      </c>
      <c r="AE7">
        <v>247</v>
      </c>
      <c r="AF7">
        <v>45</v>
      </c>
      <c r="AG7">
        <v>157.27000000000001</v>
      </c>
      <c r="AH7">
        <v>22</v>
      </c>
      <c r="AI7">
        <v>29</v>
      </c>
      <c r="AJ7">
        <v>705.85</v>
      </c>
      <c r="AK7">
        <v>36</v>
      </c>
      <c r="AL7">
        <f t="shared" si="1"/>
        <v>19.606944444444444</v>
      </c>
      <c r="AM7">
        <v>32023</v>
      </c>
      <c r="AN7" s="5">
        <v>0.14000000000000001</v>
      </c>
      <c r="AO7" s="13">
        <v>1</v>
      </c>
      <c r="AP7" s="13">
        <v>0</v>
      </c>
      <c r="AQ7" s="13">
        <v>1</v>
      </c>
      <c r="AR7" s="13">
        <v>0</v>
      </c>
      <c r="AS7" s="13">
        <v>1</v>
      </c>
      <c r="AT7" t="str">
        <f t="shared" si="2"/>
        <v>19/20</v>
      </c>
    </row>
    <row r="8" spans="1:46" x14ac:dyDescent="0.25">
      <c r="A8" t="s">
        <v>7</v>
      </c>
      <c r="B8">
        <v>5</v>
      </c>
      <c r="C8" t="s">
        <v>7</v>
      </c>
      <c r="D8">
        <v>67</v>
      </c>
      <c r="E8">
        <v>41</v>
      </c>
      <c r="F8">
        <f t="shared" si="0"/>
        <v>26</v>
      </c>
      <c r="G8">
        <v>13</v>
      </c>
      <c r="H8">
        <v>41</v>
      </c>
      <c r="I8">
        <v>3</v>
      </c>
      <c r="J8">
        <v>62.2</v>
      </c>
      <c r="K8">
        <v>45.5</v>
      </c>
      <c r="L8">
        <v>4.7999999999999972</v>
      </c>
      <c r="M8">
        <v>533</v>
      </c>
      <c r="N8">
        <v>183</v>
      </c>
      <c r="O8">
        <v>5</v>
      </c>
      <c r="P8">
        <v>11</v>
      </c>
      <c r="Q8">
        <v>59</v>
      </c>
      <c r="R8">
        <v>9</v>
      </c>
      <c r="S8">
        <v>9</v>
      </c>
      <c r="T8">
        <v>64</v>
      </c>
      <c r="U8">
        <v>2</v>
      </c>
      <c r="V8">
        <v>10</v>
      </c>
      <c r="W8">
        <v>94</v>
      </c>
      <c r="X8">
        <v>767</v>
      </c>
      <c r="Y8">
        <v>742</v>
      </c>
      <c r="Z8">
        <v>418</v>
      </c>
      <c r="AA8">
        <v>17600</v>
      </c>
      <c r="AB8">
        <v>68</v>
      </c>
      <c r="AC8">
        <v>2975</v>
      </c>
      <c r="AD8">
        <v>779</v>
      </c>
      <c r="AE8">
        <v>221</v>
      </c>
      <c r="AF8">
        <v>104.3</v>
      </c>
      <c r="AG8">
        <v>88.5</v>
      </c>
      <c r="AH8">
        <v>13</v>
      </c>
      <c r="AI8">
        <v>13</v>
      </c>
      <c r="AJ8">
        <v>411.1</v>
      </c>
      <c r="AK8">
        <v>32</v>
      </c>
      <c r="AL8">
        <f t="shared" si="1"/>
        <v>12.846875000000001</v>
      </c>
      <c r="AM8">
        <v>25312</v>
      </c>
      <c r="AN8" s="5">
        <v>0.12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t="str">
        <f t="shared" si="2"/>
        <v>19/20</v>
      </c>
    </row>
    <row r="9" spans="1:46" x14ac:dyDescent="0.25">
      <c r="A9" t="s">
        <v>3</v>
      </c>
      <c r="B9">
        <v>6</v>
      </c>
      <c r="C9" t="s">
        <v>3</v>
      </c>
      <c r="D9">
        <v>61</v>
      </c>
      <c r="E9">
        <v>47</v>
      </c>
      <c r="F9">
        <f t="shared" si="0"/>
        <v>14</v>
      </c>
      <c r="G9">
        <v>8</v>
      </c>
      <c r="H9">
        <v>82</v>
      </c>
      <c r="I9">
        <v>3</v>
      </c>
      <c r="J9">
        <v>47.9</v>
      </c>
      <c r="K9">
        <v>54.2</v>
      </c>
      <c r="L9">
        <v>13.100000000000001</v>
      </c>
      <c r="M9">
        <v>440</v>
      </c>
      <c r="N9">
        <v>154</v>
      </c>
      <c r="O9">
        <v>3</v>
      </c>
      <c r="P9">
        <v>8</v>
      </c>
      <c r="Q9">
        <v>55</v>
      </c>
      <c r="R9">
        <v>6</v>
      </c>
      <c r="S9">
        <v>8</v>
      </c>
      <c r="T9">
        <v>66</v>
      </c>
      <c r="U9">
        <v>2</v>
      </c>
      <c r="V9">
        <v>7</v>
      </c>
      <c r="W9">
        <v>134</v>
      </c>
      <c r="X9">
        <v>894</v>
      </c>
      <c r="Y9">
        <v>665</v>
      </c>
      <c r="Z9">
        <v>423</v>
      </c>
      <c r="AA9">
        <v>16101</v>
      </c>
      <c r="AB9">
        <v>79</v>
      </c>
      <c r="AC9">
        <v>2584</v>
      </c>
      <c r="AD9">
        <v>641</v>
      </c>
      <c r="AE9">
        <v>200</v>
      </c>
      <c r="AF9">
        <v>148.5</v>
      </c>
      <c r="AG9">
        <v>64.5</v>
      </c>
      <c r="AH9">
        <v>12</v>
      </c>
      <c r="AI9">
        <v>14</v>
      </c>
      <c r="AJ9">
        <v>806.6</v>
      </c>
      <c r="AK9">
        <v>36</v>
      </c>
      <c r="AL9">
        <f t="shared" si="1"/>
        <v>22.405555555555555</v>
      </c>
      <c r="AM9">
        <v>43757</v>
      </c>
      <c r="AN9" s="5">
        <v>0.23</v>
      </c>
      <c r="AO9" s="13">
        <v>1</v>
      </c>
      <c r="AP9" s="13">
        <v>0</v>
      </c>
      <c r="AQ9" s="13">
        <v>0</v>
      </c>
      <c r="AR9" s="13">
        <v>0</v>
      </c>
      <c r="AS9" s="13">
        <v>1</v>
      </c>
      <c r="AT9" t="str">
        <f t="shared" si="2"/>
        <v>19/20</v>
      </c>
    </row>
    <row r="10" spans="1:46" x14ac:dyDescent="0.25">
      <c r="A10" t="s">
        <v>16</v>
      </c>
      <c r="B10">
        <v>7</v>
      </c>
      <c r="C10" t="s">
        <v>16</v>
      </c>
      <c r="D10">
        <v>52</v>
      </c>
      <c r="E10">
        <v>40</v>
      </c>
      <c r="F10">
        <f t="shared" si="0"/>
        <v>12</v>
      </c>
      <c r="G10">
        <v>13</v>
      </c>
      <c r="H10">
        <v>57</v>
      </c>
      <c r="I10">
        <v>2</v>
      </c>
      <c r="J10">
        <v>54.1</v>
      </c>
      <c r="K10">
        <v>38</v>
      </c>
      <c r="L10">
        <v>-2.1000000000000014</v>
      </c>
      <c r="M10">
        <v>457</v>
      </c>
      <c r="N10">
        <v>142</v>
      </c>
      <c r="O10">
        <v>4</v>
      </c>
      <c r="P10">
        <v>10</v>
      </c>
      <c r="Q10">
        <v>46</v>
      </c>
      <c r="R10">
        <v>7</v>
      </c>
      <c r="S10">
        <v>6</v>
      </c>
      <c r="T10">
        <v>49</v>
      </c>
      <c r="U10">
        <v>1</v>
      </c>
      <c r="V10">
        <v>3</v>
      </c>
      <c r="W10">
        <v>88</v>
      </c>
      <c r="X10">
        <v>702</v>
      </c>
      <c r="Y10">
        <v>646</v>
      </c>
      <c r="Z10">
        <v>407</v>
      </c>
      <c r="AA10">
        <v>14298</v>
      </c>
      <c r="AB10">
        <v>40</v>
      </c>
      <c r="AC10">
        <v>2601</v>
      </c>
      <c r="AD10">
        <v>718</v>
      </c>
      <c r="AE10">
        <v>193</v>
      </c>
      <c r="AF10">
        <v>116.7</v>
      </c>
      <c r="AG10">
        <v>24.1</v>
      </c>
      <c r="AH10">
        <v>28</v>
      </c>
      <c r="AI10">
        <v>26</v>
      </c>
      <c r="AJ10">
        <v>320.33</v>
      </c>
      <c r="AK10">
        <v>44</v>
      </c>
      <c r="AL10">
        <f t="shared" si="1"/>
        <v>7.2802272727272728</v>
      </c>
      <c r="AM10">
        <v>24758</v>
      </c>
      <c r="AN10" s="5">
        <v>0.06</v>
      </c>
      <c r="AO10" s="13">
        <v>1</v>
      </c>
      <c r="AP10" s="13">
        <v>0</v>
      </c>
      <c r="AQ10" s="13">
        <v>0</v>
      </c>
      <c r="AR10" s="13">
        <v>0</v>
      </c>
      <c r="AS10" s="13">
        <v>0</v>
      </c>
      <c r="AT10" t="str">
        <f t="shared" si="2"/>
        <v>19/20</v>
      </c>
    </row>
    <row r="11" spans="1:46" x14ac:dyDescent="0.25">
      <c r="A11" t="s">
        <v>6</v>
      </c>
      <c r="B11">
        <v>8</v>
      </c>
      <c r="C11" t="s">
        <v>6</v>
      </c>
      <c r="D11">
        <v>56</v>
      </c>
      <c r="E11">
        <v>48</v>
      </c>
      <c r="F11">
        <f t="shared" si="0"/>
        <v>8</v>
      </c>
      <c r="G11">
        <v>10</v>
      </c>
      <c r="H11">
        <v>86</v>
      </c>
      <c r="I11">
        <v>5</v>
      </c>
      <c r="J11">
        <v>47</v>
      </c>
      <c r="K11">
        <v>55.3</v>
      </c>
      <c r="L11">
        <v>9</v>
      </c>
      <c r="M11">
        <v>403</v>
      </c>
      <c r="N11">
        <v>146</v>
      </c>
      <c r="O11">
        <v>3</v>
      </c>
      <c r="P11">
        <v>5</v>
      </c>
      <c r="Q11">
        <v>51</v>
      </c>
      <c r="R11">
        <v>5</v>
      </c>
      <c r="S11">
        <v>2</v>
      </c>
      <c r="T11">
        <v>73</v>
      </c>
      <c r="U11">
        <v>0</v>
      </c>
      <c r="V11">
        <v>8</v>
      </c>
      <c r="W11">
        <v>144</v>
      </c>
      <c r="X11">
        <v>754</v>
      </c>
      <c r="Y11">
        <v>584</v>
      </c>
      <c r="Z11">
        <v>421</v>
      </c>
      <c r="AA11">
        <v>16634</v>
      </c>
      <c r="AB11">
        <v>67</v>
      </c>
      <c r="AC11">
        <v>3032</v>
      </c>
      <c r="AD11">
        <v>699</v>
      </c>
      <c r="AE11">
        <v>231</v>
      </c>
      <c r="AF11">
        <v>160.80000000000001</v>
      </c>
      <c r="AG11">
        <v>53.65</v>
      </c>
      <c r="AH11">
        <v>16</v>
      </c>
      <c r="AI11">
        <v>19</v>
      </c>
      <c r="AJ11">
        <v>607.65</v>
      </c>
      <c r="AK11">
        <v>38</v>
      </c>
      <c r="AL11">
        <f t="shared" si="1"/>
        <v>15.99078947368421</v>
      </c>
      <c r="AM11">
        <v>47589</v>
      </c>
      <c r="AN11" s="5">
        <v>0</v>
      </c>
      <c r="AO11" s="13">
        <v>1</v>
      </c>
      <c r="AP11" s="13">
        <v>0</v>
      </c>
      <c r="AQ11" s="13">
        <v>0</v>
      </c>
      <c r="AR11" s="13">
        <v>0</v>
      </c>
      <c r="AS11" s="13">
        <v>1</v>
      </c>
      <c r="AT11" t="str">
        <f t="shared" si="2"/>
        <v>19/20</v>
      </c>
    </row>
    <row r="12" spans="1:46" x14ac:dyDescent="0.25">
      <c r="A12" t="s">
        <v>103</v>
      </c>
      <c r="B12">
        <v>9</v>
      </c>
      <c r="C12" t="s">
        <v>29</v>
      </c>
      <c r="D12">
        <v>39</v>
      </c>
      <c r="E12">
        <v>39</v>
      </c>
      <c r="F12">
        <f t="shared" si="0"/>
        <v>0</v>
      </c>
      <c r="G12">
        <v>13</v>
      </c>
      <c r="H12">
        <v>61</v>
      </c>
      <c r="I12">
        <v>3</v>
      </c>
      <c r="J12">
        <v>43</v>
      </c>
      <c r="K12">
        <v>51</v>
      </c>
      <c r="L12">
        <v>-4</v>
      </c>
      <c r="M12">
        <v>352</v>
      </c>
      <c r="N12">
        <v>109</v>
      </c>
      <c r="O12">
        <v>1</v>
      </c>
      <c r="P12">
        <v>5</v>
      </c>
      <c r="Q12">
        <v>38</v>
      </c>
      <c r="R12">
        <v>1</v>
      </c>
      <c r="S12">
        <v>3</v>
      </c>
      <c r="T12">
        <v>78</v>
      </c>
      <c r="U12">
        <v>0</v>
      </c>
      <c r="V12">
        <v>3</v>
      </c>
      <c r="W12">
        <v>99</v>
      </c>
      <c r="X12">
        <v>931</v>
      </c>
      <c r="Y12">
        <v>611</v>
      </c>
      <c r="Z12">
        <v>412</v>
      </c>
      <c r="AA12">
        <v>12125</v>
      </c>
      <c r="AB12">
        <v>15</v>
      </c>
      <c r="AC12">
        <v>2312</v>
      </c>
      <c r="AD12">
        <v>866</v>
      </c>
      <c r="AE12">
        <v>212</v>
      </c>
      <c r="AF12">
        <v>70.5</v>
      </c>
      <c r="AG12">
        <v>0.35</v>
      </c>
      <c r="AH12">
        <v>23</v>
      </c>
      <c r="AI12">
        <v>21</v>
      </c>
      <c r="AJ12">
        <v>138.6</v>
      </c>
      <c r="AK12">
        <v>34</v>
      </c>
      <c r="AL12">
        <f t="shared" si="1"/>
        <v>4.0764705882352938</v>
      </c>
      <c r="AM12">
        <v>24370</v>
      </c>
      <c r="AN12" s="5">
        <v>0.23</v>
      </c>
      <c r="AO12" s="13">
        <v>0</v>
      </c>
      <c r="AP12" s="13">
        <v>1</v>
      </c>
      <c r="AQ12" s="13">
        <v>0</v>
      </c>
      <c r="AR12" s="13">
        <v>0</v>
      </c>
      <c r="AS12" s="13">
        <v>0</v>
      </c>
      <c r="AT12" t="str">
        <f t="shared" si="2"/>
        <v>19/20</v>
      </c>
    </row>
    <row r="13" spans="1:46" x14ac:dyDescent="0.25">
      <c r="A13" t="s">
        <v>17</v>
      </c>
      <c r="B13">
        <v>10</v>
      </c>
      <c r="C13" t="s">
        <v>17</v>
      </c>
      <c r="D13">
        <v>43</v>
      </c>
      <c r="E13">
        <v>50</v>
      </c>
      <c r="F13">
        <f t="shared" si="0"/>
        <v>-7</v>
      </c>
      <c r="G13">
        <v>15</v>
      </c>
      <c r="H13">
        <v>67</v>
      </c>
      <c r="I13">
        <v>0</v>
      </c>
      <c r="J13">
        <v>47.4</v>
      </c>
      <c r="K13">
        <v>49.8</v>
      </c>
      <c r="L13">
        <v>-4.3999999999999986</v>
      </c>
      <c r="M13">
        <v>384</v>
      </c>
      <c r="N13">
        <v>124</v>
      </c>
      <c r="O13">
        <v>3</v>
      </c>
      <c r="P13">
        <v>12</v>
      </c>
      <c r="Q13">
        <v>37</v>
      </c>
      <c r="R13">
        <v>6</v>
      </c>
      <c r="S13">
        <v>2</v>
      </c>
      <c r="T13">
        <v>89</v>
      </c>
      <c r="U13">
        <v>1</v>
      </c>
      <c r="V13">
        <v>5</v>
      </c>
      <c r="W13">
        <v>117</v>
      </c>
      <c r="X13">
        <v>901</v>
      </c>
      <c r="Y13">
        <v>547</v>
      </c>
      <c r="Z13">
        <v>412</v>
      </c>
      <c r="AA13">
        <v>10049</v>
      </c>
      <c r="AB13">
        <v>29</v>
      </c>
      <c r="AC13">
        <v>1983</v>
      </c>
      <c r="AD13">
        <v>743</v>
      </c>
      <c r="AE13">
        <v>170</v>
      </c>
      <c r="AF13">
        <v>23.85</v>
      </c>
      <c r="AG13">
        <v>13.55</v>
      </c>
      <c r="AH13">
        <v>8</v>
      </c>
      <c r="AI13">
        <v>10</v>
      </c>
      <c r="AJ13">
        <v>163.88</v>
      </c>
      <c r="AK13">
        <v>35</v>
      </c>
      <c r="AL13">
        <f t="shared" si="1"/>
        <v>4.6822857142857144</v>
      </c>
      <c r="AM13">
        <v>15995</v>
      </c>
      <c r="AN13" s="5">
        <v>0.1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t="str">
        <f t="shared" si="2"/>
        <v>19/20</v>
      </c>
    </row>
    <row r="14" spans="1:46" x14ac:dyDescent="0.25">
      <c r="A14" t="s">
        <v>11</v>
      </c>
      <c r="B14">
        <v>11</v>
      </c>
      <c r="C14" t="s">
        <v>11</v>
      </c>
      <c r="D14">
        <v>51</v>
      </c>
      <c r="E14">
        <v>60</v>
      </c>
      <c r="F14">
        <f t="shared" si="0"/>
        <v>-9</v>
      </c>
      <c r="G14">
        <v>9</v>
      </c>
      <c r="H14">
        <v>53</v>
      </c>
      <c r="I14">
        <v>4</v>
      </c>
      <c r="J14">
        <v>56.1</v>
      </c>
      <c r="K14">
        <v>52.8</v>
      </c>
      <c r="L14">
        <v>-5.1000000000000014</v>
      </c>
      <c r="M14">
        <v>494</v>
      </c>
      <c r="N14">
        <v>171</v>
      </c>
      <c r="O14">
        <v>2</v>
      </c>
      <c r="P14">
        <v>4</v>
      </c>
      <c r="Q14">
        <v>39</v>
      </c>
      <c r="R14">
        <v>12</v>
      </c>
      <c r="S14">
        <v>2</v>
      </c>
      <c r="T14">
        <v>58</v>
      </c>
      <c r="U14">
        <v>1</v>
      </c>
      <c r="V14">
        <v>4</v>
      </c>
      <c r="W14">
        <v>108</v>
      </c>
      <c r="X14">
        <v>867</v>
      </c>
      <c r="Y14">
        <v>706</v>
      </c>
      <c r="Z14">
        <v>450</v>
      </c>
      <c r="AA14">
        <v>12488</v>
      </c>
      <c r="AB14">
        <v>27</v>
      </c>
      <c r="AC14">
        <v>2400</v>
      </c>
      <c r="AD14">
        <v>690</v>
      </c>
      <c r="AE14">
        <v>210</v>
      </c>
      <c r="AF14">
        <v>61.5</v>
      </c>
      <c r="AG14">
        <v>27.3</v>
      </c>
      <c r="AH14">
        <v>14</v>
      </c>
      <c r="AI14">
        <v>17</v>
      </c>
      <c r="AJ14">
        <v>210.75</v>
      </c>
      <c r="AK14">
        <v>36</v>
      </c>
      <c r="AL14">
        <f t="shared" si="1"/>
        <v>5.854166666666667</v>
      </c>
      <c r="AM14">
        <v>23428</v>
      </c>
      <c r="AN14" s="5">
        <v>-0.17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t="str">
        <f t="shared" si="2"/>
        <v>19/20</v>
      </c>
    </row>
    <row r="15" spans="1:46" x14ac:dyDescent="0.25">
      <c r="A15" t="s">
        <v>15</v>
      </c>
      <c r="B15">
        <v>12</v>
      </c>
      <c r="C15" t="s">
        <v>15</v>
      </c>
      <c r="D15">
        <v>44</v>
      </c>
      <c r="E15">
        <v>56</v>
      </c>
      <c r="F15">
        <f t="shared" si="0"/>
        <v>-12</v>
      </c>
      <c r="G15">
        <v>9</v>
      </c>
      <c r="H15">
        <v>70</v>
      </c>
      <c r="I15">
        <v>3</v>
      </c>
      <c r="J15">
        <v>50.8</v>
      </c>
      <c r="K15">
        <v>48.3</v>
      </c>
      <c r="L15">
        <v>-6.7999999999999972</v>
      </c>
      <c r="M15">
        <v>468</v>
      </c>
      <c r="N15">
        <v>159</v>
      </c>
      <c r="O15">
        <v>1</v>
      </c>
      <c r="P15">
        <v>16</v>
      </c>
      <c r="Q15">
        <v>43</v>
      </c>
      <c r="R15">
        <v>1</v>
      </c>
      <c r="S15">
        <v>3</v>
      </c>
      <c r="T15">
        <v>58</v>
      </c>
      <c r="U15">
        <v>3</v>
      </c>
      <c r="V15">
        <v>4</v>
      </c>
      <c r="W15">
        <v>94</v>
      </c>
      <c r="X15">
        <v>778</v>
      </c>
      <c r="Y15">
        <v>671</v>
      </c>
      <c r="Z15">
        <v>472</v>
      </c>
      <c r="AA15">
        <v>13433</v>
      </c>
      <c r="AB15">
        <v>55</v>
      </c>
      <c r="AC15">
        <v>2275</v>
      </c>
      <c r="AD15">
        <v>804</v>
      </c>
      <c r="AE15">
        <v>203</v>
      </c>
      <c r="AF15">
        <v>121</v>
      </c>
      <c r="AG15">
        <v>87.8</v>
      </c>
      <c r="AH15">
        <v>22</v>
      </c>
      <c r="AI15">
        <v>22</v>
      </c>
      <c r="AJ15">
        <v>420.55</v>
      </c>
      <c r="AK15">
        <v>35</v>
      </c>
      <c r="AL15">
        <f t="shared" si="1"/>
        <v>12.015714285714287</v>
      </c>
      <c r="AM15">
        <v>28848</v>
      </c>
      <c r="AN15" s="5">
        <v>0.17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t="str">
        <f t="shared" si="2"/>
        <v>19/20</v>
      </c>
    </row>
    <row r="16" spans="1:46" x14ac:dyDescent="0.25">
      <c r="A16" t="s">
        <v>12</v>
      </c>
      <c r="B16">
        <v>13</v>
      </c>
      <c r="C16" t="s">
        <v>12</v>
      </c>
      <c r="D16">
        <v>38</v>
      </c>
      <c r="E16">
        <v>58</v>
      </c>
      <c r="F16">
        <f t="shared" si="0"/>
        <v>-20</v>
      </c>
      <c r="G16">
        <v>11</v>
      </c>
      <c r="H16">
        <v>66</v>
      </c>
      <c r="I16">
        <v>3</v>
      </c>
      <c r="J16">
        <v>35.5</v>
      </c>
      <c r="K16">
        <v>65.599999999999994</v>
      </c>
      <c r="L16">
        <v>2.5</v>
      </c>
      <c r="M16">
        <v>398</v>
      </c>
      <c r="N16">
        <v>132</v>
      </c>
      <c r="O16">
        <v>0</v>
      </c>
      <c r="P16">
        <v>7</v>
      </c>
      <c r="Q16">
        <v>34</v>
      </c>
      <c r="R16">
        <v>4</v>
      </c>
      <c r="S16">
        <v>2</v>
      </c>
      <c r="T16">
        <v>75</v>
      </c>
      <c r="U16">
        <v>2</v>
      </c>
      <c r="V16">
        <v>2</v>
      </c>
      <c r="W16">
        <v>139</v>
      </c>
      <c r="X16">
        <v>988</v>
      </c>
      <c r="Y16">
        <v>603</v>
      </c>
      <c r="Z16">
        <v>370</v>
      </c>
      <c r="AA16">
        <v>10606</v>
      </c>
      <c r="AB16">
        <v>18</v>
      </c>
      <c r="AC16">
        <v>2015</v>
      </c>
      <c r="AD16">
        <v>591</v>
      </c>
      <c r="AE16">
        <v>151</v>
      </c>
      <c r="AF16">
        <v>72.900000000000006</v>
      </c>
      <c r="AG16">
        <v>35.64</v>
      </c>
      <c r="AH16">
        <v>13</v>
      </c>
      <c r="AI16">
        <v>11</v>
      </c>
      <c r="AJ16">
        <v>252.48</v>
      </c>
      <c r="AK16">
        <v>41</v>
      </c>
      <c r="AL16">
        <f t="shared" si="1"/>
        <v>6.158048780487805</v>
      </c>
      <c r="AM16">
        <v>35551</v>
      </c>
      <c r="AN16" s="5">
        <v>0.16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t="str">
        <f t="shared" si="2"/>
        <v>19/20</v>
      </c>
    </row>
    <row r="17" spans="1:46" x14ac:dyDescent="0.25">
      <c r="A17" t="s">
        <v>9</v>
      </c>
      <c r="B17">
        <v>14</v>
      </c>
      <c r="C17" t="s">
        <v>9</v>
      </c>
      <c r="D17">
        <v>31</v>
      </c>
      <c r="E17">
        <v>50</v>
      </c>
      <c r="F17">
        <f t="shared" si="0"/>
        <v>-19</v>
      </c>
      <c r="G17">
        <v>10</v>
      </c>
      <c r="H17">
        <v>62</v>
      </c>
      <c r="I17">
        <v>3</v>
      </c>
      <c r="J17">
        <v>35.799999999999997</v>
      </c>
      <c r="K17">
        <v>57</v>
      </c>
      <c r="L17">
        <v>-4.7999999999999972</v>
      </c>
      <c r="M17">
        <v>373</v>
      </c>
      <c r="N17">
        <v>115</v>
      </c>
      <c r="O17">
        <v>3</v>
      </c>
      <c r="P17">
        <v>5</v>
      </c>
      <c r="Q17">
        <v>27</v>
      </c>
      <c r="R17">
        <v>5</v>
      </c>
      <c r="S17">
        <v>1</v>
      </c>
      <c r="T17">
        <v>53</v>
      </c>
      <c r="U17">
        <v>2</v>
      </c>
      <c r="V17">
        <v>1</v>
      </c>
      <c r="W17">
        <v>124</v>
      </c>
      <c r="X17">
        <v>856</v>
      </c>
      <c r="Y17">
        <v>686</v>
      </c>
      <c r="Z17">
        <v>424</v>
      </c>
      <c r="AA17">
        <v>12274</v>
      </c>
      <c r="AB17">
        <v>19</v>
      </c>
      <c r="AC17">
        <v>2344</v>
      </c>
      <c r="AD17">
        <v>588</v>
      </c>
      <c r="AE17">
        <v>177</v>
      </c>
      <c r="AF17">
        <v>7.6</v>
      </c>
      <c r="AG17">
        <v>55.38</v>
      </c>
      <c r="AH17">
        <v>13</v>
      </c>
      <c r="AI17">
        <v>15</v>
      </c>
      <c r="AJ17">
        <v>189.33</v>
      </c>
      <c r="AK17">
        <v>33</v>
      </c>
      <c r="AL17">
        <f t="shared" si="1"/>
        <v>5.7372727272727273</v>
      </c>
      <c r="AM17">
        <v>19784</v>
      </c>
      <c r="AN17" s="5">
        <v>0.08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t="str">
        <f t="shared" si="2"/>
        <v>19/20</v>
      </c>
    </row>
    <row r="18" spans="1:46" x14ac:dyDescent="0.25">
      <c r="A18" t="s">
        <v>14</v>
      </c>
      <c r="B18">
        <v>15</v>
      </c>
      <c r="C18" t="s">
        <v>14</v>
      </c>
      <c r="D18">
        <v>39</v>
      </c>
      <c r="E18">
        <v>54</v>
      </c>
      <c r="F18">
        <f t="shared" si="0"/>
        <v>-15</v>
      </c>
      <c r="G18">
        <v>9</v>
      </c>
      <c r="H18">
        <v>57</v>
      </c>
      <c r="I18">
        <v>2</v>
      </c>
      <c r="J18">
        <v>45.4</v>
      </c>
      <c r="K18">
        <v>55</v>
      </c>
      <c r="L18">
        <v>-6.3999999999999986</v>
      </c>
      <c r="M18">
        <v>460</v>
      </c>
      <c r="N18">
        <v>139</v>
      </c>
      <c r="O18">
        <v>1</v>
      </c>
      <c r="P18">
        <v>8</v>
      </c>
      <c r="Q18">
        <v>35</v>
      </c>
      <c r="R18">
        <v>4</v>
      </c>
      <c r="S18">
        <v>2</v>
      </c>
      <c r="T18">
        <v>71</v>
      </c>
      <c r="U18">
        <v>2</v>
      </c>
      <c r="V18">
        <v>2</v>
      </c>
      <c r="W18">
        <v>116</v>
      </c>
      <c r="X18">
        <v>750</v>
      </c>
      <c r="Y18">
        <v>641</v>
      </c>
      <c r="Z18">
        <v>386</v>
      </c>
      <c r="AA18">
        <v>15881</v>
      </c>
      <c r="AB18">
        <v>34</v>
      </c>
      <c r="AC18">
        <v>2716</v>
      </c>
      <c r="AD18">
        <v>689</v>
      </c>
      <c r="AE18">
        <v>178</v>
      </c>
      <c r="AF18">
        <v>66.5</v>
      </c>
      <c r="AG18">
        <v>0.4</v>
      </c>
      <c r="AH18">
        <v>25</v>
      </c>
      <c r="AI18">
        <v>30</v>
      </c>
      <c r="AJ18">
        <v>200.78</v>
      </c>
      <c r="AK18">
        <v>45</v>
      </c>
      <c r="AL18">
        <f t="shared" si="1"/>
        <v>4.4617777777777778</v>
      </c>
      <c r="AM18">
        <v>22369</v>
      </c>
      <c r="AN18" s="5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t="str">
        <f t="shared" si="2"/>
        <v>19/20</v>
      </c>
    </row>
    <row r="19" spans="1:46" x14ac:dyDescent="0.25">
      <c r="A19" t="s">
        <v>5</v>
      </c>
      <c r="B19">
        <v>16</v>
      </c>
      <c r="C19" t="s">
        <v>5</v>
      </c>
      <c r="D19">
        <v>49</v>
      </c>
      <c r="E19">
        <v>62</v>
      </c>
      <c r="F19">
        <f t="shared" si="0"/>
        <v>-13</v>
      </c>
      <c r="G19">
        <v>7</v>
      </c>
      <c r="H19">
        <v>62</v>
      </c>
      <c r="I19">
        <v>2</v>
      </c>
      <c r="J19">
        <v>48.6</v>
      </c>
      <c r="K19">
        <v>63.8</v>
      </c>
      <c r="L19">
        <v>0.39999999999999858</v>
      </c>
      <c r="M19">
        <v>413</v>
      </c>
      <c r="N19">
        <v>156</v>
      </c>
      <c r="O19">
        <v>4</v>
      </c>
      <c r="P19">
        <v>7</v>
      </c>
      <c r="Q19">
        <v>44</v>
      </c>
      <c r="R19">
        <v>5</v>
      </c>
      <c r="S19">
        <v>3</v>
      </c>
      <c r="T19">
        <v>66</v>
      </c>
      <c r="U19">
        <v>3</v>
      </c>
      <c r="V19">
        <v>6</v>
      </c>
      <c r="W19">
        <v>127</v>
      </c>
      <c r="X19">
        <v>789</v>
      </c>
      <c r="Y19">
        <v>696</v>
      </c>
      <c r="Z19">
        <v>387</v>
      </c>
      <c r="AA19">
        <v>12451</v>
      </c>
      <c r="AB19">
        <v>38</v>
      </c>
      <c r="AC19">
        <v>2300</v>
      </c>
      <c r="AD19">
        <v>737</v>
      </c>
      <c r="AE19">
        <v>190</v>
      </c>
      <c r="AF19">
        <v>119.8</v>
      </c>
      <c r="AG19">
        <v>55.48</v>
      </c>
      <c r="AH19">
        <v>10</v>
      </c>
      <c r="AI19">
        <v>17</v>
      </c>
      <c r="AJ19">
        <v>303.60000000000002</v>
      </c>
      <c r="AK19">
        <v>38</v>
      </c>
      <c r="AL19">
        <f t="shared" si="1"/>
        <v>7.9894736842105267</v>
      </c>
      <c r="AM19">
        <v>44155</v>
      </c>
      <c r="AN19" s="5">
        <v>0.08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t="str">
        <f t="shared" si="2"/>
        <v>19/20</v>
      </c>
    </row>
    <row r="20" spans="1:46" x14ac:dyDescent="0.25">
      <c r="A20" t="s">
        <v>8</v>
      </c>
      <c r="B20">
        <v>17</v>
      </c>
      <c r="C20" t="s">
        <v>8</v>
      </c>
      <c r="D20">
        <v>41</v>
      </c>
      <c r="E20">
        <v>67</v>
      </c>
      <c r="F20">
        <f t="shared" si="0"/>
        <v>-26</v>
      </c>
      <c r="G20">
        <v>7</v>
      </c>
      <c r="H20">
        <v>68</v>
      </c>
      <c r="I20">
        <v>1</v>
      </c>
      <c r="J20">
        <v>44.3</v>
      </c>
      <c r="K20">
        <v>67.8</v>
      </c>
      <c r="L20">
        <v>-3.2999999999999972</v>
      </c>
      <c r="M20">
        <v>453</v>
      </c>
      <c r="N20">
        <v>147</v>
      </c>
      <c r="O20">
        <v>1</v>
      </c>
      <c r="P20">
        <v>3</v>
      </c>
      <c r="Q20">
        <v>37</v>
      </c>
      <c r="R20">
        <v>4</v>
      </c>
      <c r="S20">
        <v>1</v>
      </c>
      <c r="T20">
        <v>62</v>
      </c>
      <c r="U20">
        <v>1</v>
      </c>
      <c r="V20">
        <v>6</v>
      </c>
      <c r="W20">
        <v>115</v>
      </c>
      <c r="X20">
        <v>928</v>
      </c>
      <c r="Y20">
        <v>523</v>
      </c>
      <c r="Z20">
        <v>451</v>
      </c>
      <c r="AA20">
        <v>11652</v>
      </c>
      <c r="AB20">
        <v>17</v>
      </c>
      <c r="AC20">
        <v>2025</v>
      </c>
      <c r="AD20">
        <v>798</v>
      </c>
      <c r="AE20">
        <v>200</v>
      </c>
      <c r="AF20">
        <v>159.5</v>
      </c>
      <c r="AG20">
        <v>3</v>
      </c>
      <c r="AH20">
        <v>22</v>
      </c>
      <c r="AI20">
        <v>22</v>
      </c>
      <c r="AJ20">
        <v>231.7</v>
      </c>
      <c r="AK20">
        <v>38</v>
      </c>
      <c r="AL20">
        <f t="shared" si="1"/>
        <v>6.0973684210526313</v>
      </c>
      <c r="AM20">
        <v>28505</v>
      </c>
      <c r="AN20" s="5">
        <v>0.09</v>
      </c>
      <c r="AO20" s="13">
        <v>0</v>
      </c>
      <c r="AP20" s="13">
        <v>1</v>
      </c>
      <c r="AQ20" s="13">
        <v>0</v>
      </c>
      <c r="AR20" s="13">
        <v>0</v>
      </c>
      <c r="AS20" s="13">
        <v>0</v>
      </c>
      <c r="AT20" t="str">
        <f t="shared" si="2"/>
        <v>19/20</v>
      </c>
    </row>
    <row r="21" spans="1:46" x14ac:dyDescent="0.25">
      <c r="A21" t="s">
        <v>85</v>
      </c>
      <c r="B21">
        <v>18</v>
      </c>
      <c r="C21" t="s">
        <v>31</v>
      </c>
      <c r="D21">
        <v>40</v>
      </c>
      <c r="E21">
        <v>65</v>
      </c>
      <c r="F21">
        <f t="shared" si="0"/>
        <v>-25</v>
      </c>
      <c r="G21">
        <v>5</v>
      </c>
      <c r="H21">
        <v>74</v>
      </c>
      <c r="I21">
        <v>3</v>
      </c>
      <c r="J21">
        <v>44.8</v>
      </c>
      <c r="K21">
        <v>62.3</v>
      </c>
      <c r="L21">
        <v>-4.7999999999999972</v>
      </c>
      <c r="M21">
        <v>385</v>
      </c>
      <c r="N21">
        <v>117</v>
      </c>
      <c r="O21">
        <v>4</v>
      </c>
      <c r="P21">
        <v>5</v>
      </c>
      <c r="Q21">
        <v>36</v>
      </c>
      <c r="R21">
        <v>4</v>
      </c>
      <c r="S21">
        <v>2</v>
      </c>
      <c r="T21">
        <v>67</v>
      </c>
      <c r="U21">
        <v>0</v>
      </c>
      <c r="V21">
        <v>6</v>
      </c>
      <c r="W21">
        <v>126</v>
      </c>
      <c r="X21">
        <v>1008</v>
      </c>
      <c r="Y21">
        <v>507</v>
      </c>
      <c r="Z21">
        <v>369</v>
      </c>
      <c r="AA21">
        <v>12042</v>
      </c>
      <c r="AB21">
        <v>28</v>
      </c>
      <c r="AC21">
        <v>2097</v>
      </c>
      <c r="AD21">
        <v>646</v>
      </c>
      <c r="AE21">
        <v>194</v>
      </c>
      <c r="AF21">
        <v>54.91</v>
      </c>
      <c r="AG21">
        <v>34.630000000000003</v>
      </c>
      <c r="AH21">
        <v>13</v>
      </c>
      <c r="AI21">
        <v>12</v>
      </c>
      <c r="AJ21">
        <v>272.18</v>
      </c>
      <c r="AK21">
        <v>39</v>
      </c>
      <c r="AL21">
        <f t="shared" si="1"/>
        <v>6.9789743589743596</v>
      </c>
      <c r="AM21">
        <v>7745</v>
      </c>
      <c r="AN21" s="5">
        <v>0.09</v>
      </c>
      <c r="AO21" s="13">
        <v>0</v>
      </c>
      <c r="AP21" s="13">
        <v>0</v>
      </c>
      <c r="AQ21" s="13">
        <v>0</v>
      </c>
      <c r="AR21" s="13">
        <v>1</v>
      </c>
      <c r="AS21" s="13">
        <v>0</v>
      </c>
      <c r="AT21" t="str">
        <f t="shared" si="2"/>
        <v>19/20</v>
      </c>
    </row>
    <row r="22" spans="1:46" x14ac:dyDescent="0.25">
      <c r="A22" t="s">
        <v>18</v>
      </c>
      <c r="B22">
        <v>19</v>
      </c>
      <c r="C22" t="s">
        <v>18</v>
      </c>
      <c r="D22">
        <v>36</v>
      </c>
      <c r="E22">
        <v>64</v>
      </c>
      <c r="F22">
        <f t="shared" si="0"/>
        <v>-28</v>
      </c>
      <c r="G22">
        <v>9</v>
      </c>
      <c r="H22">
        <v>76</v>
      </c>
      <c r="I22">
        <v>3</v>
      </c>
      <c r="J22">
        <v>48.9</v>
      </c>
      <c r="K22">
        <v>58.1</v>
      </c>
      <c r="L22">
        <v>-12.899999999999999</v>
      </c>
      <c r="M22">
        <v>416</v>
      </c>
      <c r="N22">
        <v>112</v>
      </c>
      <c r="O22">
        <v>7</v>
      </c>
      <c r="P22">
        <v>2</v>
      </c>
      <c r="Q22">
        <v>36</v>
      </c>
      <c r="R22">
        <v>0</v>
      </c>
      <c r="S22">
        <v>3</v>
      </c>
      <c r="T22">
        <v>68</v>
      </c>
      <c r="U22">
        <v>3</v>
      </c>
      <c r="V22">
        <v>9</v>
      </c>
      <c r="W22">
        <v>116</v>
      </c>
      <c r="X22">
        <v>869</v>
      </c>
      <c r="Y22">
        <v>657</v>
      </c>
      <c r="Z22">
        <v>481</v>
      </c>
      <c r="AA22">
        <v>11230</v>
      </c>
      <c r="AB22">
        <v>11</v>
      </c>
      <c r="AC22">
        <v>2206</v>
      </c>
      <c r="AD22">
        <v>684</v>
      </c>
      <c r="AE22">
        <v>167</v>
      </c>
      <c r="AF22">
        <v>48.5</v>
      </c>
      <c r="AG22">
        <v>25.4</v>
      </c>
      <c r="AH22">
        <v>21</v>
      </c>
      <c r="AI22">
        <v>22</v>
      </c>
      <c r="AJ22">
        <v>199.6</v>
      </c>
      <c r="AK22">
        <v>43</v>
      </c>
      <c r="AL22">
        <f t="shared" si="1"/>
        <v>4.6418604651162791</v>
      </c>
      <c r="AM22">
        <v>15353</v>
      </c>
      <c r="AN22" s="5">
        <v>0.19</v>
      </c>
      <c r="AO22" s="13">
        <v>0</v>
      </c>
      <c r="AP22" s="13">
        <v>0</v>
      </c>
      <c r="AQ22" s="13">
        <v>0</v>
      </c>
      <c r="AR22" s="13">
        <v>1</v>
      </c>
      <c r="AS22" s="13">
        <v>0</v>
      </c>
      <c r="AT22" t="str">
        <f t="shared" si="2"/>
        <v>19/20</v>
      </c>
    </row>
    <row r="23" spans="1:46" x14ac:dyDescent="0.25">
      <c r="A23" t="s">
        <v>19</v>
      </c>
      <c r="B23">
        <v>20</v>
      </c>
      <c r="C23" t="s">
        <v>19</v>
      </c>
      <c r="D23">
        <v>26</v>
      </c>
      <c r="E23">
        <v>75</v>
      </c>
      <c r="F23">
        <f t="shared" si="0"/>
        <v>-49</v>
      </c>
      <c r="G23">
        <v>5</v>
      </c>
      <c r="H23">
        <v>68</v>
      </c>
      <c r="I23">
        <v>3</v>
      </c>
      <c r="J23">
        <v>37</v>
      </c>
      <c r="K23">
        <v>66.5</v>
      </c>
      <c r="L23">
        <v>-11</v>
      </c>
      <c r="M23">
        <v>407</v>
      </c>
      <c r="N23">
        <v>126</v>
      </c>
      <c r="O23">
        <v>2</v>
      </c>
      <c r="P23">
        <v>1</v>
      </c>
      <c r="Q23">
        <v>24</v>
      </c>
      <c r="R23">
        <v>2</v>
      </c>
      <c r="S23">
        <v>0</v>
      </c>
      <c r="T23">
        <v>50</v>
      </c>
      <c r="U23">
        <v>3</v>
      </c>
      <c r="V23">
        <v>7</v>
      </c>
      <c r="W23">
        <v>135</v>
      </c>
      <c r="X23">
        <v>959</v>
      </c>
      <c r="Y23">
        <v>628</v>
      </c>
      <c r="Z23">
        <v>363</v>
      </c>
      <c r="AA23">
        <v>14965</v>
      </c>
      <c r="AB23">
        <v>47</v>
      </c>
      <c r="AC23">
        <v>3005</v>
      </c>
      <c r="AD23">
        <v>473</v>
      </c>
      <c r="AE23">
        <v>162</v>
      </c>
      <c r="AF23">
        <v>8.82</v>
      </c>
      <c r="AG23">
        <v>2.2000000000000002</v>
      </c>
      <c r="AH23">
        <v>23</v>
      </c>
      <c r="AI23">
        <v>28</v>
      </c>
      <c r="AJ23">
        <v>145.33000000000001</v>
      </c>
      <c r="AK23">
        <v>38</v>
      </c>
      <c r="AL23">
        <f t="shared" si="1"/>
        <v>3.8244736842105267</v>
      </c>
      <c r="AM23">
        <v>19913</v>
      </c>
      <c r="AN23" s="5">
        <v>0.43</v>
      </c>
      <c r="AO23" s="13">
        <v>0</v>
      </c>
      <c r="AP23" s="13">
        <v>1</v>
      </c>
      <c r="AQ23" s="13">
        <v>0</v>
      </c>
      <c r="AR23" s="13">
        <v>1</v>
      </c>
      <c r="AS23" s="13">
        <v>0</v>
      </c>
      <c r="AT23" t="str">
        <f t="shared" si="2"/>
        <v>19/20</v>
      </c>
    </row>
  </sheetData>
  <mergeCells count="5">
    <mergeCell ref="D2:L2"/>
    <mergeCell ref="M2:T2"/>
    <mergeCell ref="U2:Z2"/>
    <mergeCell ref="AA2:AE2"/>
    <mergeCell ref="AF2:A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BD9E-DFEA-504A-BCDC-A70E3FF2215B}">
  <dimension ref="A2:AT23"/>
  <sheetViews>
    <sheetView zoomScale="80" zoomScaleNormal="80" workbookViewId="0">
      <pane xSplit="3" ySplit="3" topLeftCell="AA4" activePane="bottomRight" state="frozen"/>
      <selection pane="topRight" activeCell="D1" sqref="D1"/>
      <selection pane="bottomLeft" activeCell="A4" sqref="A4"/>
      <selection pane="bottomRight" activeCell="C10" sqref="C10"/>
    </sheetView>
  </sheetViews>
  <sheetFormatPr baseColWidth="10" defaultColWidth="11.125" defaultRowHeight="15.75" x14ac:dyDescent="0.25"/>
  <cols>
    <col min="2" max="3" width="24.125" bestFit="1" customWidth="1"/>
    <col min="4" max="4" width="12" bestFit="1" customWidth="1"/>
    <col min="5" max="6" width="12" customWidth="1"/>
    <col min="7" max="7" width="15" bestFit="1" customWidth="1"/>
    <col min="8" max="8" width="16.375" bestFit="1" customWidth="1"/>
    <col min="9" max="9" width="12.875" bestFit="1" customWidth="1"/>
    <col min="10" max="10" width="4.625" bestFit="1" customWidth="1"/>
    <col min="11" max="11" width="4.875" bestFit="1" customWidth="1"/>
    <col min="12" max="12" width="7.125" bestFit="1" customWidth="1"/>
    <col min="13" max="13" width="5" bestFit="1" customWidth="1"/>
    <col min="14" max="14" width="9.5" bestFit="1" customWidth="1"/>
    <col min="16" max="42" width="10.375" customWidth="1"/>
  </cols>
  <sheetData>
    <row r="2" spans="1:46" x14ac:dyDescent="0.25">
      <c r="B2" t="s">
        <v>26</v>
      </c>
      <c r="D2" s="99" t="s">
        <v>79</v>
      </c>
      <c r="E2" s="99"/>
      <c r="F2" s="99"/>
      <c r="G2" s="99"/>
      <c r="H2" s="99"/>
      <c r="I2" s="99"/>
      <c r="J2" s="99"/>
      <c r="K2" s="99"/>
      <c r="L2" s="99"/>
      <c r="M2" s="100" t="s">
        <v>80</v>
      </c>
      <c r="N2" s="100"/>
      <c r="O2" s="100"/>
      <c r="P2" s="100"/>
      <c r="Q2" s="100"/>
      <c r="R2" s="100"/>
      <c r="S2" s="100"/>
      <c r="T2" s="100"/>
      <c r="U2" s="101" t="s">
        <v>81</v>
      </c>
      <c r="V2" s="101"/>
      <c r="W2" s="101"/>
      <c r="X2" s="101"/>
      <c r="Y2" s="101"/>
      <c r="Z2" s="101"/>
      <c r="AA2" s="102" t="s">
        <v>82</v>
      </c>
      <c r="AB2" s="102"/>
      <c r="AC2" s="102"/>
      <c r="AD2" s="102"/>
      <c r="AE2" s="102"/>
      <c r="AF2" s="103" t="s">
        <v>83</v>
      </c>
      <c r="AG2" s="103"/>
      <c r="AH2" s="103"/>
      <c r="AI2" s="103"/>
      <c r="AJ2" s="103"/>
      <c r="AK2" s="103"/>
      <c r="AL2" s="103"/>
      <c r="AM2" s="103"/>
      <c r="AN2" s="103"/>
      <c r="AO2" s="9"/>
      <c r="AP2" s="9"/>
      <c r="AQ2" s="9"/>
      <c r="AR2" s="9"/>
      <c r="AS2" s="9"/>
    </row>
    <row r="3" spans="1:46" x14ac:dyDescent="0.25">
      <c r="B3" t="s">
        <v>0</v>
      </c>
      <c r="C3" t="s">
        <v>24</v>
      </c>
      <c r="D3" t="s">
        <v>20</v>
      </c>
      <c r="E3" t="s">
        <v>42</v>
      </c>
      <c r="F3" t="s">
        <v>43</v>
      </c>
      <c r="G3" t="s">
        <v>21</v>
      </c>
      <c r="H3" t="s">
        <v>22</v>
      </c>
      <c r="I3" t="s">
        <v>23</v>
      </c>
      <c r="J3" s="15" t="s">
        <v>46</v>
      </c>
      <c r="K3" s="15" t="s">
        <v>47</v>
      </c>
      <c r="L3" s="15" t="s">
        <v>53</v>
      </c>
      <c r="M3" s="15" t="s">
        <v>55</v>
      </c>
      <c r="N3" s="15" t="s">
        <v>54</v>
      </c>
      <c r="O3" s="15" t="s">
        <v>56</v>
      </c>
      <c r="P3" t="s">
        <v>57</v>
      </c>
      <c r="Q3" t="s">
        <v>58</v>
      </c>
      <c r="R3" t="s">
        <v>59</v>
      </c>
      <c r="S3" t="s">
        <v>60</v>
      </c>
      <c r="T3" s="15" t="s">
        <v>63</v>
      </c>
      <c r="U3" s="15" t="s">
        <v>61</v>
      </c>
      <c r="V3" s="15" t="s">
        <v>62</v>
      </c>
      <c r="W3" s="15" t="s">
        <v>64</v>
      </c>
      <c r="X3" s="15" t="s">
        <v>65</v>
      </c>
      <c r="Y3" s="15" t="s">
        <v>66</v>
      </c>
      <c r="Z3" s="15" t="s">
        <v>67</v>
      </c>
      <c r="AA3" s="15" t="s">
        <v>68</v>
      </c>
      <c r="AB3" s="15" t="s">
        <v>69</v>
      </c>
      <c r="AC3" t="s">
        <v>70</v>
      </c>
      <c r="AD3" s="15" t="s">
        <v>71</v>
      </c>
      <c r="AE3" s="15" t="s">
        <v>72</v>
      </c>
      <c r="AF3" t="s">
        <v>44</v>
      </c>
      <c r="AG3" t="s">
        <v>45</v>
      </c>
      <c r="AH3" t="s">
        <v>73</v>
      </c>
      <c r="AI3" t="s">
        <v>74</v>
      </c>
      <c r="AJ3" t="s">
        <v>51</v>
      </c>
      <c r="AK3" t="s">
        <v>75</v>
      </c>
      <c r="AL3" t="s">
        <v>76</v>
      </c>
      <c r="AM3" s="15" t="s">
        <v>77</v>
      </c>
      <c r="AN3" t="s">
        <v>78</v>
      </c>
      <c r="AO3" t="s">
        <v>101</v>
      </c>
      <c r="AP3" t="s">
        <v>102</v>
      </c>
      <c r="AQ3" t="s">
        <v>104</v>
      </c>
      <c r="AR3" t="s">
        <v>105</v>
      </c>
      <c r="AS3" t="s">
        <v>106</v>
      </c>
      <c r="AT3" t="s">
        <v>92</v>
      </c>
    </row>
    <row r="4" spans="1:46" x14ac:dyDescent="0.25">
      <c r="A4" t="s">
        <v>25</v>
      </c>
      <c r="B4">
        <v>1</v>
      </c>
      <c r="C4" t="s">
        <v>25</v>
      </c>
      <c r="D4">
        <v>83</v>
      </c>
      <c r="E4">
        <v>32</v>
      </c>
      <c r="F4">
        <f t="shared" ref="F4:F23" si="0">D4-E4</f>
        <v>51</v>
      </c>
      <c r="G4">
        <v>19</v>
      </c>
      <c r="H4">
        <v>46</v>
      </c>
      <c r="I4">
        <v>2</v>
      </c>
      <c r="J4" s="10">
        <v>68.2</v>
      </c>
      <c r="K4" s="10">
        <v>30.2</v>
      </c>
      <c r="L4">
        <f>D4-J4</f>
        <v>14.799999999999997</v>
      </c>
      <c r="M4">
        <v>590</v>
      </c>
      <c r="N4">
        <v>211</v>
      </c>
      <c r="O4">
        <v>5</v>
      </c>
      <c r="P4">
        <v>10</v>
      </c>
      <c r="Q4">
        <v>73</v>
      </c>
      <c r="R4">
        <v>10</v>
      </c>
      <c r="S4">
        <v>3</v>
      </c>
      <c r="T4">
        <v>57</v>
      </c>
      <c r="U4">
        <v>1</v>
      </c>
      <c r="V4">
        <v>10</v>
      </c>
      <c r="W4">
        <v>67</v>
      </c>
      <c r="X4">
        <v>453</v>
      </c>
      <c r="Y4">
        <v>498</v>
      </c>
      <c r="Z4">
        <v>361</v>
      </c>
      <c r="AA4">
        <v>23819</v>
      </c>
      <c r="AB4">
        <v>38</v>
      </c>
      <c r="AC4">
        <v>4275</v>
      </c>
      <c r="AD4">
        <v>632</v>
      </c>
      <c r="AE4">
        <v>247</v>
      </c>
      <c r="AF4">
        <v>172.3</v>
      </c>
      <c r="AG4">
        <v>76.650000000000006</v>
      </c>
      <c r="AH4">
        <v>28</v>
      </c>
      <c r="AI4">
        <v>27</v>
      </c>
      <c r="AJ4">
        <v>1040</v>
      </c>
      <c r="AK4">
        <v>36</v>
      </c>
      <c r="AL4">
        <f>AJ4/AK4</f>
        <v>28.888888888888889</v>
      </c>
      <c r="AM4" s="10">
        <v>526</v>
      </c>
      <c r="AN4" s="5">
        <v>-0.01</v>
      </c>
      <c r="AO4" s="13">
        <v>1</v>
      </c>
      <c r="AP4" s="13">
        <v>0</v>
      </c>
      <c r="AQ4" s="13">
        <v>1</v>
      </c>
      <c r="AR4" s="13">
        <v>0</v>
      </c>
      <c r="AS4" s="13">
        <v>1</v>
      </c>
      <c r="AT4" t="s">
        <v>98</v>
      </c>
    </row>
    <row r="5" spans="1:46" x14ac:dyDescent="0.25">
      <c r="A5" t="s">
        <v>4</v>
      </c>
      <c r="B5">
        <v>2</v>
      </c>
      <c r="C5" t="s">
        <v>4</v>
      </c>
      <c r="D5">
        <v>73</v>
      </c>
      <c r="E5">
        <v>44</v>
      </c>
      <c r="F5">
        <f t="shared" si="0"/>
        <v>29</v>
      </c>
      <c r="G5">
        <v>13</v>
      </c>
      <c r="H5">
        <v>64</v>
      </c>
      <c r="I5">
        <v>1</v>
      </c>
      <c r="J5" s="10">
        <v>60.1</v>
      </c>
      <c r="K5" s="10">
        <v>41.4</v>
      </c>
      <c r="L5">
        <f t="shared" ref="L5:L23" si="1">D5-J5</f>
        <v>12.899999999999999</v>
      </c>
      <c r="M5">
        <v>515</v>
      </c>
      <c r="N5">
        <v>196</v>
      </c>
      <c r="O5">
        <v>10</v>
      </c>
      <c r="P5">
        <v>13</v>
      </c>
      <c r="Q5">
        <v>65</v>
      </c>
      <c r="R5">
        <v>8</v>
      </c>
      <c r="S5">
        <v>6</v>
      </c>
      <c r="T5">
        <v>76</v>
      </c>
      <c r="U5">
        <v>2</v>
      </c>
      <c r="V5">
        <v>4</v>
      </c>
      <c r="W5">
        <v>98</v>
      </c>
      <c r="X5">
        <v>634</v>
      </c>
      <c r="Y5">
        <v>551</v>
      </c>
      <c r="Z5">
        <v>452</v>
      </c>
      <c r="AA5">
        <v>18800</v>
      </c>
      <c r="AB5">
        <v>34</v>
      </c>
      <c r="AC5">
        <v>3080</v>
      </c>
      <c r="AD5">
        <v>640</v>
      </c>
      <c r="AE5">
        <v>197</v>
      </c>
      <c r="AF5">
        <v>140</v>
      </c>
      <c r="AG5">
        <v>30.7</v>
      </c>
      <c r="AH5">
        <v>17</v>
      </c>
      <c r="AI5">
        <v>17</v>
      </c>
      <c r="AJ5">
        <v>770.5</v>
      </c>
      <c r="AK5">
        <v>39</v>
      </c>
      <c r="AL5">
        <f t="shared" ref="AL5:AL23" si="2">AJ5/AK5</f>
        <v>19.756410256410255</v>
      </c>
      <c r="AM5" s="10">
        <v>526</v>
      </c>
      <c r="AN5" s="5">
        <v>-0.12</v>
      </c>
      <c r="AO5" s="13">
        <v>1</v>
      </c>
      <c r="AP5" s="13">
        <v>0</v>
      </c>
      <c r="AQ5" s="13">
        <v>1</v>
      </c>
      <c r="AR5" s="13">
        <v>0</v>
      </c>
      <c r="AS5" s="13">
        <v>1</v>
      </c>
      <c r="AT5" t="str">
        <f>AT4</f>
        <v>20/21</v>
      </c>
    </row>
    <row r="6" spans="1:46" x14ac:dyDescent="0.25">
      <c r="A6" t="s">
        <v>1</v>
      </c>
      <c r="B6">
        <v>3</v>
      </c>
      <c r="C6" t="s">
        <v>1</v>
      </c>
      <c r="D6">
        <v>68</v>
      </c>
      <c r="E6">
        <v>42</v>
      </c>
      <c r="F6">
        <f t="shared" si="0"/>
        <v>26</v>
      </c>
      <c r="G6">
        <v>12</v>
      </c>
      <c r="H6">
        <v>40</v>
      </c>
      <c r="I6">
        <v>0</v>
      </c>
      <c r="J6" s="10">
        <v>67.5</v>
      </c>
      <c r="K6" s="10">
        <v>43</v>
      </c>
      <c r="L6">
        <f t="shared" si="1"/>
        <v>0.5</v>
      </c>
      <c r="M6">
        <v>602</v>
      </c>
      <c r="N6">
        <v>204</v>
      </c>
      <c r="O6">
        <v>6</v>
      </c>
      <c r="P6">
        <v>15</v>
      </c>
      <c r="Q6">
        <v>62</v>
      </c>
      <c r="R6">
        <v>6</v>
      </c>
      <c r="S6">
        <v>5</v>
      </c>
      <c r="T6">
        <v>65</v>
      </c>
      <c r="U6">
        <v>0</v>
      </c>
      <c r="V6">
        <v>8</v>
      </c>
      <c r="W6">
        <v>97</v>
      </c>
      <c r="X6">
        <v>563</v>
      </c>
      <c r="Y6">
        <v>526</v>
      </c>
      <c r="Z6">
        <v>396</v>
      </c>
      <c r="AA6">
        <v>21929</v>
      </c>
      <c r="AB6">
        <v>44</v>
      </c>
      <c r="AC6">
        <v>3472</v>
      </c>
      <c r="AD6">
        <v>862</v>
      </c>
      <c r="AE6">
        <v>257</v>
      </c>
      <c r="AF6">
        <v>82.65</v>
      </c>
      <c r="AG6">
        <v>17.2</v>
      </c>
      <c r="AH6">
        <v>16</v>
      </c>
      <c r="AI6">
        <v>13</v>
      </c>
      <c r="AJ6">
        <v>969.65</v>
      </c>
      <c r="AK6">
        <v>43</v>
      </c>
      <c r="AL6">
        <f t="shared" si="2"/>
        <v>22.55</v>
      </c>
      <c r="AM6" s="10">
        <v>837</v>
      </c>
      <c r="AN6" s="5">
        <v>-0.05</v>
      </c>
      <c r="AO6" s="13">
        <v>1</v>
      </c>
      <c r="AP6" s="13">
        <v>0</v>
      </c>
      <c r="AQ6" s="13">
        <v>1</v>
      </c>
      <c r="AR6" s="13">
        <v>0</v>
      </c>
      <c r="AS6" s="13">
        <v>1</v>
      </c>
      <c r="AT6" t="str">
        <f t="shared" ref="AT6:AT23" si="3">AT5</f>
        <v>20/21</v>
      </c>
    </row>
    <row r="7" spans="1:46" x14ac:dyDescent="0.25">
      <c r="A7" t="s">
        <v>2</v>
      </c>
      <c r="B7">
        <v>4</v>
      </c>
      <c r="C7" t="s">
        <v>2</v>
      </c>
      <c r="D7">
        <v>58</v>
      </c>
      <c r="E7">
        <v>36</v>
      </c>
      <c r="F7">
        <f t="shared" si="0"/>
        <v>22</v>
      </c>
      <c r="G7">
        <v>18</v>
      </c>
      <c r="H7">
        <v>50</v>
      </c>
      <c r="I7">
        <v>3</v>
      </c>
      <c r="J7" s="10">
        <v>62.4</v>
      </c>
      <c r="K7" s="10">
        <v>30.3</v>
      </c>
      <c r="L7">
        <f t="shared" si="1"/>
        <v>-4.3999999999999986</v>
      </c>
      <c r="M7">
        <v>546</v>
      </c>
      <c r="N7">
        <v>193</v>
      </c>
      <c r="O7">
        <v>8</v>
      </c>
      <c r="P7">
        <v>9</v>
      </c>
      <c r="Q7">
        <v>55</v>
      </c>
      <c r="R7">
        <v>3</v>
      </c>
      <c r="S7">
        <v>2</v>
      </c>
      <c r="T7">
        <v>79</v>
      </c>
      <c r="U7">
        <v>1</v>
      </c>
      <c r="V7">
        <v>4</v>
      </c>
      <c r="W7">
        <v>71</v>
      </c>
      <c r="X7">
        <v>661</v>
      </c>
      <c r="Y7">
        <v>612</v>
      </c>
      <c r="Z7">
        <v>433</v>
      </c>
      <c r="AA7">
        <v>21969</v>
      </c>
      <c r="AB7">
        <v>29</v>
      </c>
      <c r="AC7">
        <v>3889</v>
      </c>
      <c r="AD7">
        <v>749</v>
      </c>
      <c r="AE7">
        <v>226</v>
      </c>
      <c r="AF7">
        <v>247.2</v>
      </c>
      <c r="AG7">
        <v>57.4</v>
      </c>
      <c r="AH7">
        <v>31</v>
      </c>
      <c r="AI7">
        <v>26</v>
      </c>
      <c r="AJ7">
        <v>889.2</v>
      </c>
      <c r="AK7">
        <v>39</v>
      </c>
      <c r="AL7">
        <f t="shared" si="2"/>
        <v>22.8</v>
      </c>
      <c r="AM7" s="10">
        <v>526</v>
      </c>
      <c r="AN7" s="5">
        <v>0</v>
      </c>
      <c r="AO7" s="13">
        <v>1</v>
      </c>
      <c r="AP7" s="13">
        <v>0</v>
      </c>
      <c r="AQ7" s="13">
        <v>1</v>
      </c>
      <c r="AR7" s="13">
        <v>0</v>
      </c>
      <c r="AS7" s="13">
        <v>1</v>
      </c>
      <c r="AT7" t="str">
        <f t="shared" si="3"/>
        <v>20/21</v>
      </c>
    </row>
    <row r="8" spans="1:46" x14ac:dyDescent="0.25">
      <c r="A8" t="s">
        <v>7</v>
      </c>
      <c r="B8">
        <v>5</v>
      </c>
      <c r="C8" t="s">
        <v>7</v>
      </c>
      <c r="D8">
        <v>68</v>
      </c>
      <c r="E8">
        <v>50</v>
      </c>
      <c r="F8">
        <f t="shared" si="0"/>
        <v>18</v>
      </c>
      <c r="G8">
        <v>11</v>
      </c>
      <c r="H8">
        <v>61</v>
      </c>
      <c r="I8">
        <v>0</v>
      </c>
      <c r="J8" s="10">
        <v>55.8</v>
      </c>
      <c r="K8" s="10">
        <v>46</v>
      </c>
      <c r="L8">
        <f t="shared" si="1"/>
        <v>12.200000000000003</v>
      </c>
      <c r="M8">
        <v>473</v>
      </c>
      <c r="N8">
        <v>170</v>
      </c>
      <c r="O8">
        <v>10</v>
      </c>
      <c r="P8">
        <v>7</v>
      </c>
      <c r="Q8">
        <v>56</v>
      </c>
      <c r="R8">
        <v>3</v>
      </c>
      <c r="S8">
        <v>4</v>
      </c>
      <c r="T8">
        <v>71</v>
      </c>
      <c r="U8">
        <v>2</v>
      </c>
      <c r="V8">
        <v>4</v>
      </c>
      <c r="W8">
        <v>88</v>
      </c>
      <c r="X8">
        <v>685</v>
      </c>
      <c r="Y8">
        <v>681</v>
      </c>
      <c r="Z8">
        <v>413</v>
      </c>
      <c r="AA8">
        <v>17014</v>
      </c>
      <c r="AB8">
        <v>35</v>
      </c>
      <c r="AC8">
        <v>2955</v>
      </c>
      <c r="AD8">
        <v>649</v>
      </c>
      <c r="AE8">
        <v>212</v>
      </c>
      <c r="AF8">
        <v>59.4</v>
      </c>
      <c r="AG8">
        <v>53.77</v>
      </c>
      <c r="AH8">
        <v>19</v>
      </c>
      <c r="AI8">
        <v>18</v>
      </c>
      <c r="AJ8">
        <v>510.7</v>
      </c>
      <c r="AK8">
        <v>40</v>
      </c>
      <c r="AL8">
        <f t="shared" si="2"/>
        <v>12.7675</v>
      </c>
      <c r="AM8" s="10">
        <v>421</v>
      </c>
      <c r="AN8" s="5">
        <v>-0.1</v>
      </c>
      <c r="AO8" s="13">
        <v>1</v>
      </c>
      <c r="AP8" s="13">
        <v>0</v>
      </c>
      <c r="AQ8" s="13">
        <v>0</v>
      </c>
      <c r="AR8" s="13">
        <v>0</v>
      </c>
      <c r="AS8" s="13">
        <v>0</v>
      </c>
      <c r="AT8" t="str">
        <f t="shared" si="3"/>
        <v>20/21</v>
      </c>
    </row>
    <row r="9" spans="1:46" x14ac:dyDescent="0.25">
      <c r="A9" t="s">
        <v>5</v>
      </c>
      <c r="B9">
        <v>6</v>
      </c>
      <c r="C9" t="s">
        <v>5</v>
      </c>
      <c r="D9">
        <v>62</v>
      </c>
      <c r="E9">
        <v>47</v>
      </c>
      <c r="F9">
        <f t="shared" si="0"/>
        <v>15</v>
      </c>
      <c r="G9">
        <v>11</v>
      </c>
      <c r="H9">
        <v>48</v>
      </c>
      <c r="I9">
        <v>3</v>
      </c>
      <c r="J9" s="10">
        <v>55.4</v>
      </c>
      <c r="K9" s="10">
        <v>48.7</v>
      </c>
      <c r="L9">
        <f t="shared" si="1"/>
        <v>6.6000000000000014</v>
      </c>
      <c r="M9">
        <v>464</v>
      </c>
      <c r="N9">
        <v>158</v>
      </c>
      <c r="O9">
        <v>2</v>
      </c>
      <c r="P9">
        <v>15</v>
      </c>
      <c r="Q9">
        <v>59</v>
      </c>
      <c r="R9">
        <v>3</v>
      </c>
      <c r="S9">
        <v>6</v>
      </c>
      <c r="T9">
        <v>74</v>
      </c>
      <c r="U9">
        <v>4</v>
      </c>
      <c r="V9">
        <v>5</v>
      </c>
      <c r="W9">
        <v>103</v>
      </c>
      <c r="X9">
        <v>779</v>
      </c>
      <c r="Y9">
        <v>514</v>
      </c>
      <c r="Z9">
        <v>375</v>
      </c>
      <c r="AA9">
        <v>12725</v>
      </c>
      <c r="AB9">
        <v>15</v>
      </c>
      <c r="AC9">
        <v>2230</v>
      </c>
      <c r="AD9">
        <v>775</v>
      </c>
      <c r="AE9">
        <v>167</v>
      </c>
      <c r="AF9">
        <v>54.7</v>
      </c>
      <c r="AG9">
        <v>45.41</v>
      </c>
      <c r="AH9">
        <v>16</v>
      </c>
      <c r="AI9">
        <v>17</v>
      </c>
      <c r="AJ9">
        <v>334.9</v>
      </c>
      <c r="AK9">
        <v>39</v>
      </c>
      <c r="AL9">
        <f t="shared" si="2"/>
        <v>8.5871794871794869</v>
      </c>
      <c r="AM9" s="10">
        <v>632</v>
      </c>
      <c r="AN9" s="5">
        <v>0.05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t="str">
        <f t="shared" si="3"/>
        <v>20/21</v>
      </c>
    </row>
    <row r="10" spans="1:46" x14ac:dyDescent="0.25">
      <c r="A10" t="s">
        <v>3</v>
      </c>
      <c r="B10">
        <v>7</v>
      </c>
      <c r="C10" t="s">
        <v>3</v>
      </c>
      <c r="D10">
        <v>68</v>
      </c>
      <c r="E10">
        <v>45</v>
      </c>
      <c r="F10">
        <f t="shared" si="0"/>
        <v>23</v>
      </c>
      <c r="G10">
        <v>12</v>
      </c>
      <c r="H10">
        <v>53</v>
      </c>
      <c r="I10">
        <v>2</v>
      </c>
      <c r="J10" s="10">
        <v>53.1</v>
      </c>
      <c r="K10" s="10">
        <v>49.1</v>
      </c>
      <c r="L10">
        <f t="shared" si="1"/>
        <v>14.899999999999999</v>
      </c>
      <c r="M10">
        <v>438</v>
      </c>
      <c r="N10">
        <v>167</v>
      </c>
      <c r="O10">
        <v>5</v>
      </c>
      <c r="P10">
        <v>10</v>
      </c>
      <c r="Q10">
        <v>58</v>
      </c>
      <c r="R10">
        <v>10</v>
      </c>
      <c r="S10">
        <v>5</v>
      </c>
      <c r="T10">
        <v>45</v>
      </c>
      <c r="U10">
        <v>3</v>
      </c>
      <c r="V10">
        <v>10</v>
      </c>
      <c r="W10">
        <v>113</v>
      </c>
      <c r="X10">
        <v>795</v>
      </c>
      <c r="Y10">
        <v>636</v>
      </c>
      <c r="Z10">
        <v>440</v>
      </c>
      <c r="AA10">
        <v>16508</v>
      </c>
      <c r="AB10">
        <v>28</v>
      </c>
      <c r="AC10">
        <v>2850</v>
      </c>
      <c r="AD10">
        <v>526</v>
      </c>
      <c r="AE10">
        <v>168</v>
      </c>
      <c r="AF10">
        <v>110.5</v>
      </c>
      <c r="AG10">
        <v>13.3</v>
      </c>
      <c r="AH10">
        <v>15</v>
      </c>
      <c r="AI10">
        <v>11</v>
      </c>
      <c r="AJ10">
        <v>703.5</v>
      </c>
      <c r="AK10">
        <v>41</v>
      </c>
      <c r="AL10">
        <f t="shared" si="2"/>
        <v>17.158536585365855</v>
      </c>
      <c r="AM10" s="10">
        <v>632</v>
      </c>
      <c r="AN10" s="5">
        <v>7.0000000000000007E-2</v>
      </c>
      <c r="AO10" s="13">
        <v>1</v>
      </c>
      <c r="AP10" s="13">
        <v>0</v>
      </c>
      <c r="AQ10" s="13">
        <v>0</v>
      </c>
      <c r="AR10" s="13">
        <v>0</v>
      </c>
      <c r="AS10" s="13">
        <v>1</v>
      </c>
      <c r="AT10" t="str">
        <f t="shared" si="3"/>
        <v>20/21</v>
      </c>
    </row>
    <row r="11" spans="1:46" x14ac:dyDescent="0.25">
      <c r="A11" t="s">
        <v>6</v>
      </c>
      <c r="B11">
        <v>8</v>
      </c>
      <c r="C11" t="s">
        <v>6</v>
      </c>
      <c r="D11">
        <v>55</v>
      </c>
      <c r="E11">
        <v>39</v>
      </c>
      <c r="F11">
        <f t="shared" si="0"/>
        <v>16</v>
      </c>
      <c r="G11">
        <v>12</v>
      </c>
      <c r="H11">
        <v>47</v>
      </c>
      <c r="I11">
        <v>5</v>
      </c>
      <c r="J11" s="10">
        <v>51.8</v>
      </c>
      <c r="K11" s="10">
        <v>43</v>
      </c>
      <c r="L11">
        <f t="shared" si="1"/>
        <v>3.2000000000000028</v>
      </c>
      <c r="M11">
        <v>453</v>
      </c>
      <c r="N11">
        <v>140</v>
      </c>
      <c r="O11">
        <v>6</v>
      </c>
      <c r="P11">
        <v>7</v>
      </c>
      <c r="Q11">
        <v>52</v>
      </c>
      <c r="R11">
        <v>3</v>
      </c>
      <c r="S11">
        <v>1</v>
      </c>
      <c r="T11">
        <v>61</v>
      </c>
      <c r="U11">
        <v>4</v>
      </c>
      <c r="V11">
        <v>3</v>
      </c>
      <c r="W11">
        <v>93</v>
      </c>
      <c r="X11">
        <v>643</v>
      </c>
      <c r="Y11">
        <v>456</v>
      </c>
      <c r="Z11">
        <v>346</v>
      </c>
      <c r="AA11">
        <v>18041</v>
      </c>
      <c r="AB11">
        <v>34</v>
      </c>
      <c r="AC11">
        <v>3274</v>
      </c>
      <c r="AD11">
        <v>751</v>
      </c>
      <c r="AE11">
        <v>207</v>
      </c>
      <c r="AF11">
        <v>86</v>
      </c>
      <c r="AG11">
        <v>19.149999999999999</v>
      </c>
      <c r="AH11">
        <v>16</v>
      </c>
      <c r="AI11">
        <v>16</v>
      </c>
      <c r="AJ11">
        <v>619.25</v>
      </c>
      <c r="AK11">
        <v>42</v>
      </c>
      <c r="AL11">
        <f t="shared" si="2"/>
        <v>14.744047619047619</v>
      </c>
      <c r="AM11" s="10">
        <v>632</v>
      </c>
      <c r="AN11" s="5">
        <v>-0.11</v>
      </c>
      <c r="AO11" s="13">
        <v>1</v>
      </c>
      <c r="AP11" s="13">
        <v>0</v>
      </c>
      <c r="AQ11" s="13">
        <v>0</v>
      </c>
      <c r="AR11" s="13">
        <v>0</v>
      </c>
      <c r="AS11" s="13">
        <v>1</v>
      </c>
      <c r="AT11" t="str">
        <f t="shared" si="3"/>
        <v>20/21</v>
      </c>
    </row>
    <row r="12" spans="1:46" x14ac:dyDescent="0.25">
      <c r="A12" t="s">
        <v>13</v>
      </c>
      <c r="B12">
        <v>9</v>
      </c>
      <c r="C12" t="s">
        <v>13</v>
      </c>
      <c r="D12">
        <v>62</v>
      </c>
      <c r="E12">
        <v>54</v>
      </c>
      <c r="F12">
        <f t="shared" si="0"/>
        <v>8</v>
      </c>
      <c r="G12">
        <v>12</v>
      </c>
      <c r="H12">
        <v>61</v>
      </c>
      <c r="I12">
        <v>1</v>
      </c>
      <c r="J12" s="10">
        <v>55.6</v>
      </c>
      <c r="K12" s="10">
        <v>57.9</v>
      </c>
      <c r="L12">
        <f t="shared" si="1"/>
        <v>6.3999999999999986</v>
      </c>
      <c r="M12">
        <v>518</v>
      </c>
      <c r="N12">
        <v>193</v>
      </c>
      <c r="O12">
        <v>4</v>
      </c>
      <c r="P12">
        <v>9</v>
      </c>
      <c r="Q12">
        <v>48</v>
      </c>
      <c r="R12">
        <v>14</v>
      </c>
      <c r="S12">
        <v>7</v>
      </c>
      <c r="T12">
        <v>76</v>
      </c>
      <c r="U12">
        <v>2</v>
      </c>
      <c r="V12">
        <v>9</v>
      </c>
      <c r="W12">
        <v>145</v>
      </c>
      <c r="X12">
        <v>646</v>
      </c>
      <c r="Y12">
        <v>740</v>
      </c>
      <c r="Z12">
        <v>432</v>
      </c>
      <c r="AA12">
        <v>16284</v>
      </c>
      <c r="AB12">
        <v>27</v>
      </c>
      <c r="AC12">
        <v>2666</v>
      </c>
      <c r="AD12">
        <v>786</v>
      </c>
      <c r="AE12">
        <v>229</v>
      </c>
      <c r="AF12">
        <v>106.8</v>
      </c>
      <c r="AG12">
        <v>0</v>
      </c>
      <c r="AH12">
        <v>16</v>
      </c>
      <c r="AI12">
        <v>17</v>
      </c>
      <c r="AJ12">
        <v>238.1</v>
      </c>
      <c r="AK12">
        <v>39</v>
      </c>
      <c r="AL12">
        <f t="shared" si="2"/>
        <v>6.1051282051282048</v>
      </c>
      <c r="AM12" s="10">
        <v>421</v>
      </c>
      <c r="AN12" s="5">
        <v>0.06</v>
      </c>
      <c r="AO12" s="13">
        <v>0</v>
      </c>
      <c r="AP12" s="13">
        <v>1</v>
      </c>
      <c r="AQ12" s="13">
        <v>0</v>
      </c>
      <c r="AR12" s="13">
        <v>0</v>
      </c>
      <c r="AS12" s="13">
        <v>0</v>
      </c>
      <c r="AT12" t="str">
        <f t="shared" si="3"/>
        <v>20/21</v>
      </c>
    </row>
    <row r="13" spans="1:46" x14ac:dyDescent="0.25">
      <c r="A13" t="s">
        <v>15</v>
      </c>
      <c r="B13">
        <v>10</v>
      </c>
      <c r="C13" t="s">
        <v>15</v>
      </c>
      <c r="D13">
        <v>47</v>
      </c>
      <c r="E13">
        <v>48</v>
      </c>
      <c r="F13">
        <f t="shared" si="0"/>
        <v>-1</v>
      </c>
      <c r="G13">
        <v>12</v>
      </c>
      <c r="H13">
        <v>59</v>
      </c>
      <c r="I13">
        <v>2</v>
      </c>
      <c r="J13" s="10">
        <v>45.7</v>
      </c>
      <c r="K13" s="10">
        <v>50.1</v>
      </c>
      <c r="L13">
        <f t="shared" si="1"/>
        <v>1.2999999999999972</v>
      </c>
      <c r="M13">
        <v>395</v>
      </c>
      <c r="N13">
        <v>143</v>
      </c>
      <c r="O13">
        <v>4</v>
      </c>
      <c r="P13">
        <v>15</v>
      </c>
      <c r="Q13">
        <v>44</v>
      </c>
      <c r="R13">
        <v>3</v>
      </c>
      <c r="S13">
        <v>0</v>
      </c>
      <c r="T13">
        <v>65</v>
      </c>
      <c r="U13">
        <v>1</v>
      </c>
      <c r="V13">
        <v>4</v>
      </c>
      <c r="W13">
        <v>114</v>
      </c>
      <c r="X13">
        <v>847</v>
      </c>
      <c r="Y13">
        <v>640</v>
      </c>
      <c r="Z13">
        <v>386</v>
      </c>
      <c r="AA13">
        <v>14792</v>
      </c>
      <c r="AB13">
        <v>28</v>
      </c>
      <c r="AC13">
        <v>2693</v>
      </c>
      <c r="AD13">
        <v>662</v>
      </c>
      <c r="AE13">
        <v>167</v>
      </c>
      <c r="AF13">
        <v>73.37</v>
      </c>
      <c r="AG13">
        <v>4.43</v>
      </c>
      <c r="AH13">
        <v>20</v>
      </c>
      <c r="AI13">
        <v>20</v>
      </c>
      <c r="AJ13">
        <v>511.2</v>
      </c>
      <c r="AK13">
        <v>44</v>
      </c>
      <c r="AL13">
        <f t="shared" si="2"/>
        <v>11.618181818181817</v>
      </c>
      <c r="AM13" s="10">
        <v>368</v>
      </c>
      <c r="AN13" s="5">
        <v>-0.08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t="str">
        <f t="shared" si="3"/>
        <v>20/21</v>
      </c>
    </row>
    <row r="14" spans="1:46" x14ac:dyDescent="0.25">
      <c r="A14" t="s">
        <v>8</v>
      </c>
      <c r="B14">
        <v>11</v>
      </c>
      <c r="C14" t="s">
        <v>8</v>
      </c>
      <c r="D14">
        <v>55</v>
      </c>
      <c r="E14">
        <v>46</v>
      </c>
      <c r="F14">
        <f t="shared" si="0"/>
        <v>9</v>
      </c>
      <c r="G14">
        <v>15</v>
      </c>
      <c r="H14">
        <v>63</v>
      </c>
      <c r="I14">
        <v>4</v>
      </c>
      <c r="J14" s="10">
        <v>52.5</v>
      </c>
      <c r="K14" s="10">
        <v>51.1</v>
      </c>
      <c r="L14">
        <f t="shared" si="1"/>
        <v>2.5</v>
      </c>
      <c r="M14">
        <v>514</v>
      </c>
      <c r="N14">
        <v>178</v>
      </c>
      <c r="O14">
        <v>5</v>
      </c>
      <c r="P14">
        <v>7</v>
      </c>
      <c r="Q14">
        <v>47</v>
      </c>
      <c r="R14">
        <v>8</v>
      </c>
      <c r="S14">
        <v>4</v>
      </c>
      <c r="T14">
        <v>71</v>
      </c>
      <c r="U14">
        <v>1</v>
      </c>
      <c r="V14">
        <v>6</v>
      </c>
      <c r="W14">
        <v>133</v>
      </c>
      <c r="X14">
        <v>783</v>
      </c>
      <c r="Y14">
        <v>530</v>
      </c>
      <c r="Z14">
        <v>439</v>
      </c>
      <c r="AA14">
        <v>12938</v>
      </c>
      <c r="AB14">
        <v>12</v>
      </c>
      <c r="AC14">
        <v>2308</v>
      </c>
      <c r="AD14">
        <v>779</v>
      </c>
      <c r="AE14">
        <v>213</v>
      </c>
      <c r="AF14">
        <v>101.35</v>
      </c>
      <c r="AG14">
        <v>2.77</v>
      </c>
      <c r="AH14">
        <v>12</v>
      </c>
      <c r="AI14">
        <v>15</v>
      </c>
      <c r="AJ14">
        <v>430.75</v>
      </c>
      <c r="AK14">
        <v>53</v>
      </c>
      <c r="AL14">
        <f t="shared" si="2"/>
        <v>8.1273584905660385</v>
      </c>
      <c r="AM14" s="10">
        <v>526</v>
      </c>
      <c r="AN14" s="5">
        <v>-0.06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t="str">
        <f t="shared" si="3"/>
        <v>20/21</v>
      </c>
    </row>
    <row r="15" spans="1:46" x14ac:dyDescent="0.25">
      <c r="A15" t="s">
        <v>12</v>
      </c>
      <c r="B15">
        <v>12</v>
      </c>
      <c r="C15" t="s">
        <v>12</v>
      </c>
      <c r="D15">
        <v>46</v>
      </c>
      <c r="E15">
        <v>62</v>
      </c>
      <c r="F15">
        <f t="shared" si="0"/>
        <v>-16</v>
      </c>
      <c r="G15">
        <v>7</v>
      </c>
      <c r="H15">
        <v>61</v>
      </c>
      <c r="I15">
        <v>3</v>
      </c>
      <c r="J15" s="10">
        <v>43.4</v>
      </c>
      <c r="K15" s="10">
        <v>58.3</v>
      </c>
      <c r="L15">
        <f t="shared" si="1"/>
        <v>2.6000000000000014</v>
      </c>
      <c r="M15">
        <v>390</v>
      </c>
      <c r="N15">
        <v>130</v>
      </c>
      <c r="O15">
        <v>6</v>
      </c>
      <c r="P15">
        <v>9</v>
      </c>
      <c r="Q15">
        <v>43</v>
      </c>
      <c r="R15">
        <v>3</v>
      </c>
      <c r="S15">
        <v>3</v>
      </c>
      <c r="T15">
        <v>58</v>
      </c>
      <c r="U15">
        <v>3</v>
      </c>
      <c r="V15">
        <v>5</v>
      </c>
      <c r="W15">
        <v>128</v>
      </c>
      <c r="X15">
        <v>908</v>
      </c>
      <c r="Y15">
        <v>512</v>
      </c>
      <c r="Z15">
        <v>388</v>
      </c>
      <c r="AA15">
        <v>10839</v>
      </c>
      <c r="AB15">
        <v>12</v>
      </c>
      <c r="AC15">
        <v>2088</v>
      </c>
      <c r="AD15">
        <v>652</v>
      </c>
      <c r="AE15">
        <v>161</v>
      </c>
      <c r="AF15">
        <v>39</v>
      </c>
      <c r="AG15">
        <v>0.27500000000000002</v>
      </c>
      <c r="AH15">
        <v>11</v>
      </c>
      <c r="AI15">
        <v>15</v>
      </c>
      <c r="AJ15">
        <v>255.75</v>
      </c>
      <c r="AK15">
        <v>33</v>
      </c>
      <c r="AL15">
        <f t="shared" si="2"/>
        <v>7.75</v>
      </c>
      <c r="AM15" s="10">
        <v>526</v>
      </c>
      <c r="AN15" s="5">
        <v>0.03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t="str">
        <f t="shared" si="3"/>
        <v>20/21</v>
      </c>
    </row>
    <row r="16" spans="1:46" x14ac:dyDescent="0.25">
      <c r="A16" t="s">
        <v>16</v>
      </c>
      <c r="B16">
        <v>13</v>
      </c>
      <c r="C16" t="s">
        <v>16</v>
      </c>
      <c r="D16">
        <v>36</v>
      </c>
      <c r="E16">
        <v>52</v>
      </c>
      <c r="F16">
        <f t="shared" si="0"/>
        <v>-16</v>
      </c>
      <c r="G16">
        <v>10</v>
      </c>
      <c r="H16">
        <v>53</v>
      </c>
      <c r="I16">
        <v>1</v>
      </c>
      <c r="J16" s="10">
        <v>36.5</v>
      </c>
      <c r="K16" s="10">
        <v>49.5</v>
      </c>
      <c r="L16">
        <f t="shared" si="1"/>
        <v>-0.5</v>
      </c>
      <c r="M16">
        <v>459</v>
      </c>
      <c r="N16">
        <v>149</v>
      </c>
      <c r="O16">
        <v>4</v>
      </c>
      <c r="P16">
        <v>8</v>
      </c>
      <c r="Q16">
        <v>34</v>
      </c>
      <c r="R16">
        <v>3</v>
      </c>
      <c r="S16">
        <v>2</v>
      </c>
      <c r="T16">
        <v>37</v>
      </c>
      <c r="U16">
        <v>3</v>
      </c>
      <c r="V16">
        <v>8</v>
      </c>
      <c r="W16">
        <v>102</v>
      </c>
      <c r="X16">
        <v>727</v>
      </c>
      <c r="Y16">
        <v>588</v>
      </c>
      <c r="Z16">
        <v>426</v>
      </c>
      <c r="AA16">
        <v>15548</v>
      </c>
      <c r="AB16">
        <v>20</v>
      </c>
      <c r="AC16">
        <v>2943</v>
      </c>
      <c r="AD16">
        <v>775</v>
      </c>
      <c r="AE16">
        <v>208</v>
      </c>
      <c r="AF16">
        <v>87.8</v>
      </c>
      <c r="AG16">
        <v>79.2</v>
      </c>
      <c r="AH16">
        <v>21</v>
      </c>
      <c r="AI16">
        <v>24</v>
      </c>
      <c r="AJ16">
        <v>450.3</v>
      </c>
      <c r="AK16">
        <v>38</v>
      </c>
      <c r="AL16">
        <f t="shared" si="2"/>
        <v>11.85</v>
      </c>
      <c r="AM16" s="10">
        <v>237</v>
      </c>
      <c r="AN16" s="5">
        <v>0.11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t="str">
        <f t="shared" si="3"/>
        <v>20/21</v>
      </c>
    </row>
    <row r="17" spans="1:46" x14ac:dyDescent="0.25">
      <c r="A17" t="s">
        <v>9</v>
      </c>
      <c r="B17">
        <v>14</v>
      </c>
      <c r="C17" t="s">
        <v>9</v>
      </c>
      <c r="D17">
        <v>41</v>
      </c>
      <c r="E17">
        <v>66</v>
      </c>
      <c r="F17">
        <f t="shared" si="0"/>
        <v>-25</v>
      </c>
      <c r="G17">
        <v>8</v>
      </c>
      <c r="H17">
        <v>54</v>
      </c>
      <c r="I17">
        <v>2</v>
      </c>
      <c r="J17" s="10">
        <v>34.1</v>
      </c>
      <c r="K17" s="10">
        <v>58.2</v>
      </c>
      <c r="L17">
        <f t="shared" si="1"/>
        <v>6.8999999999999986</v>
      </c>
      <c r="M17">
        <v>345</v>
      </c>
      <c r="N17">
        <v>127</v>
      </c>
      <c r="O17">
        <v>3</v>
      </c>
      <c r="P17">
        <v>9</v>
      </c>
      <c r="Q17">
        <v>36</v>
      </c>
      <c r="R17">
        <v>5</v>
      </c>
      <c r="S17">
        <v>3</v>
      </c>
      <c r="T17">
        <v>67</v>
      </c>
      <c r="U17">
        <v>0</v>
      </c>
      <c r="V17">
        <v>4</v>
      </c>
      <c r="W17">
        <v>107</v>
      </c>
      <c r="X17">
        <v>774</v>
      </c>
      <c r="Y17">
        <v>636</v>
      </c>
      <c r="Z17">
        <v>409</v>
      </c>
      <c r="AA17">
        <v>11627</v>
      </c>
      <c r="AB17">
        <v>8</v>
      </c>
      <c r="AC17">
        <v>2173</v>
      </c>
      <c r="AD17">
        <v>533</v>
      </c>
      <c r="AE17">
        <v>151</v>
      </c>
      <c r="AF17">
        <v>22.4</v>
      </c>
      <c r="AG17">
        <v>20</v>
      </c>
      <c r="AH17">
        <v>13</v>
      </c>
      <c r="AI17">
        <v>8</v>
      </c>
      <c r="AJ17">
        <v>195.85</v>
      </c>
      <c r="AK17">
        <v>36</v>
      </c>
      <c r="AL17">
        <f t="shared" si="2"/>
        <v>5.4402777777777773</v>
      </c>
      <c r="AM17" s="10">
        <v>447</v>
      </c>
      <c r="AN17" s="5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t="str">
        <f t="shared" si="3"/>
        <v>20/21</v>
      </c>
    </row>
    <row r="18" spans="1:46" x14ac:dyDescent="0.25">
      <c r="A18" t="s">
        <v>11</v>
      </c>
      <c r="B18">
        <v>15</v>
      </c>
      <c r="C18" t="s">
        <v>11</v>
      </c>
      <c r="D18">
        <v>48</v>
      </c>
      <c r="E18">
        <v>68</v>
      </c>
      <c r="F18">
        <f t="shared" si="0"/>
        <v>-20</v>
      </c>
      <c r="G18">
        <v>9</v>
      </c>
      <c r="H18">
        <v>52</v>
      </c>
      <c r="I18">
        <v>4</v>
      </c>
      <c r="J18" s="10">
        <v>41.2</v>
      </c>
      <c r="K18" s="10">
        <v>53.1</v>
      </c>
      <c r="L18">
        <f t="shared" si="1"/>
        <v>6.7999999999999972</v>
      </c>
      <c r="M18">
        <v>418</v>
      </c>
      <c r="N18">
        <v>157</v>
      </c>
      <c r="O18">
        <v>5</v>
      </c>
      <c r="P18">
        <v>5</v>
      </c>
      <c r="Q18">
        <v>40</v>
      </c>
      <c r="R18">
        <v>8</v>
      </c>
      <c r="S18">
        <v>0</v>
      </c>
      <c r="T18">
        <v>76</v>
      </c>
      <c r="U18">
        <v>1</v>
      </c>
      <c r="V18">
        <v>9</v>
      </c>
      <c r="W18">
        <v>110</v>
      </c>
      <c r="X18">
        <v>681</v>
      </c>
      <c r="Y18">
        <v>727</v>
      </c>
      <c r="Z18">
        <v>428</v>
      </c>
      <c r="AA18">
        <v>14928</v>
      </c>
      <c r="AB18">
        <v>16</v>
      </c>
      <c r="AC18">
        <v>2983</v>
      </c>
      <c r="AD18">
        <v>554</v>
      </c>
      <c r="AE18">
        <v>177</v>
      </c>
      <c r="AF18">
        <v>37.299999999999997</v>
      </c>
      <c r="AG18">
        <v>26.3</v>
      </c>
      <c r="AH18">
        <v>23</v>
      </c>
      <c r="AI18">
        <v>18</v>
      </c>
      <c r="AJ18">
        <v>282.8</v>
      </c>
      <c r="AK18">
        <v>39</v>
      </c>
      <c r="AL18">
        <f t="shared" si="2"/>
        <v>7.2512820512820513</v>
      </c>
      <c r="AM18" s="10">
        <v>526</v>
      </c>
      <c r="AN18" s="5">
        <v>0.23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t="str">
        <f t="shared" si="3"/>
        <v>20/21</v>
      </c>
    </row>
    <row r="19" spans="1:46" x14ac:dyDescent="0.25">
      <c r="A19" t="s">
        <v>14</v>
      </c>
      <c r="B19">
        <v>16</v>
      </c>
      <c r="C19" t="s">
        <v>14</v>
      </c>
      <c r="D19">
        <v>41</v>
      </c>
      <c r="E19">
        <v>46</v>
      </c>
      <c r="F19">
        <f t="shared" si="0"/>
        <v>-5</v>
      </c>
      <c r="G19">
        <v>12</v>
      </c>
      <c r="H19">
        <v>46</v>
      </c>
      <c r="I19">
        <v>6</v>
      </c>
      <c r="J19" s="10">
        <v>50.9</v>
      </c>
      <c r="K19" s="10">
        <v>35.299999999999997</v>
      </c>
      <c r="L19">
        <f t="shared" si="1"/>
        <v>-9.8999999999999986</v>
      </c>
      <c r="M19">
        <v>478</v>
      </c>
      <c r="N19">
        <v>134</v>
      </c>
      <c r="O19">
        <v>6</v>
      </c>
      <c r="P19">
        <v>7</v>
      </c>
      <c r="Q19">
        <v>35</v>
      </c>
      <c r="R19">
        <v>7</v>
      </c>
      <c r="S19">
        <v>0</v>
      </c>
      <c r="T19">
        <v>52</v>
      </c>
      <c r="U19">
        <v>2</v>
      </c>
      <c r="V19">
        <v>7</v>
      </c>
      <c r="W19">
        <v>81</v>
      </c>
      <c r="X19">
        <v>604</v>
      </c>
      <c r="Y19">
        <v>628</v>
      </c>
      <c r="Z19">
        <v>428</v>
      </c>
      <c r="AA19">
        <v>15772</v>
      </c>
      <c r="AB19">
        <v>17</v>
      </c>
      <c r="AC19">
        <v>2777</v>
      </c>
      <c r="AD19">
        <v>686</v>
      </c>
      <c r="AE19">
        <v>219</v>
      </c>
      <c r="AF19">
        <v>28.5</v>
      </c>
      <c r="AG19">
        <v>20.6</v>
      </c>
      <c r="AH19">
        <v>28</v>
      </c>
      <c r="AI19">
        <v>22</v>
      </c>
      <c r="AJ19">
        <v>290.39999999999998</v>
      </c>
      <c r="AK19">
        <v>46</v>
      </c>
      <c r="AL19">
        <f t="shared" si="2"/>
        <v>6.3130434782608686</v>
      </c>
      <c r="AM19" s="10">
        <v>523</v>
      </c>
      <c r="AN19" s="5">
        <v>7.0000000000000007E-2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t="str">
        <f t="shared" si="3"/>
        <v>20/21</v>
      </c>
    </row>
    <row r="20" spans="1:46" x14ac:dyDescent="0.25">
      <c r="A20" t="s">
        <v>17</v>
      </c>
      <c r="B20">
        <v>17</v>
      </c>
      <c r="C20" t="s">
        <v>17</v>
      </c>
      <c r="D20">
        <v>33</v>
      </c>
      <c r="E20">
        <v>55</v>
      </c>
      <c r="F20">
        <f t="shared" si="0"/>
        <v>-22</v>
      </c>
      <c r="G20">
        <v>11</v>
      </c>
      <c r="H20">
        <v>48</v>
      </c>
      <c r="I20">
        <v>1</v>
      </c>
      <c r="J20" s="10">
        <v>39.299999999999997</v>
      </c>
      <c r="K20" s="10">
        <v>54.7</v>
      </c>
      <c r="L20">
        <f t="shared" si="1"/>
        <v>-6.2999999999999972</v>
      </c>
      <c r="M20">
        <v>381</v>
      </c>
      <c r="N20">
        <v>124</v>
      </c>
      <c r="O20">
        <v>3</v>
      </c>
      <c r="P20">
        <v>8</v>
      </c>
      <c r="Q20">
        <v>28</v>
      </c>
      <c r="R20">
        <v>5</v>
      </c>
      <c r="S20">
        <v>1</v>
      </c>
      <c r="T20">
        <v>80</v>
      </c>
      <c r="U20">
        <v>1</v>
      </c>
      <c r="V20">
        <v>3</v>
      </c>
      <c r="W20">
        <v>125</v>
      </c>
      <c r="X20">
        <v>824</v>
      </c>
      <c r="Y20">
        <v>507</v>
      </c>
      <c r="Z20">
        <v>384</v>
      </c>
      <c r="AA20">
        <v>10825</v>
      </c>
      <c r="AB20">
        <v>10</v>
      </c>
      <c r="AC20">
        <v>2344</v>
      </c>
      <c r="AD20">
        <v>772</v>
      </c>
      <c r="AE20">
        <v>172</v>
      </c>
      <c r="AF20">
        <v>1.1000000000000001</v>
      </c>
      <c r="AG20">
        <v>2.2999999999999998</v>
      </c>
      <c r="AH20">
        <v>6</v>
      </c>
      <c r="AI20">
        <v>6</v>
      </c>
      <c r="AJ20">
        <v>132.30000000000001</v>
      </c>
      <c r="AK20">
        <v>32</v>
      </c>
      <c r="AL20">
        <f t="shared" si="2"/>
        <v>4.1343750000000004</v>
      </c>
      <c r="AM20" s="10">
        <v>178</v>
      </c>
      <c r="AN20" s="5">
        <v>-7.0000000000000007E-2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t="str">
        <f t="shared" si="3"/>
        <v>20/21</v>
      </c>
    </row>
    <row r="21" spans="1:46" x14ac:dyDescent="0.25">
      <c r="A21" t="s">
        <v>27</v>
      </c>
      <c r="B21">
        <v>18</v>
      </c>
      <c r="C21" t="s">
        <v>27</v>
      </c>
      <c r="D21">
        <v>27</v>
      </c>
      <c r="E21">
        <v>53</v>
      </c>
      <c r="F21">
        <f t="shared" si="0"/>
        <v>-26</v>
      </c>
      <c r="G21">
        <v>9</v>
      </c>
      <c r="H21">
        <v>67</v>
      </c>
      <c r="I21">
        <v>3</v>
      </c>
      <c r="J21" s="11">
        <v>40.5</v>
      </c>
      <c r="K21" s="11">
        <v>52.6</v>
      </c>
      <c r="L21">
        <f t="shared" si="1"/>
        <v>-13.5</v>
      </c>
      <c r="M21">
        <v>436</v>
      </c>
      <c r="N21">
        <v>125</v>
      </c>
      <c r="O21">
        <v>3</v>
      </c>
      <c r="P21">
        <v>5</v>
      </c>
      <c r="Q21">
        <v>25</v>
      </c>
      <c r="R21">
        <v>2</v>
      </c>
      <c r="S21">
        <v>1</v>
      </c>
      <c r="T21">
        <v>43</v>
      </c>
      <c r="U21">
        <v>1</v>
      </c>
      <c r="V21">
        <v>7</v>
      </c>
      <c r="W21">
        <v>118</v>
      </c>
      <c r="X21">
        <v>794</v>
      </c>
      <c r="Y21">
        <v>601</v>
      </c>
      <c r="Z21">
        <v>484</v>
      </c>
      <c r="AA21">
        <v>15401</v>
      </c>
      <c r="AB21">
        <v>17</v>
      </c>
      <c r="AC21">
        <v>2823</v>
      </c>
      <c r="AD21">
        <v>710</v>
      </c>
      <c r="AE21">
        <v>164</v>
      </c>
      <c r="AF21">
        <v>37.25</v>
      </c>
      <c r="AG21">
        <v>0</v>
      </c>
      <c r="AH21">
        <v>23</v>
      </c>
      <c r="AI21">
        <v>18</v>
      </c>
      <c r="AJ21">
        <v>239.75</v>
      </c>
      <c r="AK21">
        <v>38</v>
      </c>
      <c r="AL21">
        <f t="shared" si="2"/>
        <v>6.3092105263157894</v>
      </c>
      <c r="AM21" s="11">
        <v>211</v>
      </c>
      <c r="AN21" s="5">
        <v>-0.2</v>
      </c>
      <c r="AO21" s="13">
        <v>0</v>
      </c>
      <c r="AP21" s="13">
        <v>1</v>
      </c>
      <c r="AQ21" s="13">
        <v>0</v>
      </c>
      <c r="AR21" s="13">
        <v>1</v>
      </c>
      <c r="AS21" s="13">
        <v>0</v>
      </c>
      <c r="AT21" t="str">
        <f t="shared" si="3"/>
        <v>20/21</v>
      </c>
    </row>
    <row r="22" spans="1:46" x14ac:dyDescent="0.25">
      <c r="A22" t="s">
        <v>28</v>
      </c>
      <c r="B22">
        <v>19</v>
      </c>
      <c r="C22" t="s">
        <v>28</v>
      </c>
      <c r="D22">
        <v>35</v>
      </c>
      <c r="E22">
        <v>76</v>
      </c>
      <c r="F22">
        <f t="shared" si="0"/>
        <v>-41</v>
      </c>
      <c r="G22">
        <v>6</v>
      </c>
      <c r="H22">
        <v>51</v>
      </c>
      <c r="I22">
        <v>4</v>
      </c>
      <c r="J22" s="10">
        <v>35.799999999999997</v>
      </c>
      <c r="K22" s="10">
        <v>67.900000000000006</v>
      </c>
      <c r="L22">
        <f t="shared" si="1"/>
        <v>-0.79999999999999716</v>
      </c>
      <c r="M22">
        <v>335</v>
      </c>
      <c r="N22">
        <v>106</v>
      </c>
      <c r="O22">
        <v>4</v>
      </c>
      <c r="P22">
        <v>5</v>
      </c>
      <c r="Q22">
        <v>27</v>
      </c>
      <c r="R22">
        <v>8</v>
      </c>
      <c r="S22">
        <v>2</v>
      </c>
      <c r="T22">
        <v>75</v>
      </c>
      <c r="U22">
        <v>3</v>
      </c>
      <c r="V22">
        <v>11</v>
      </c>
      <c r="W22">
        <v>166</v>
      </c>
      <c r="X22">
        <v>876</v>
      </c>
      <c r="Y22">
        <v>581</v>
      </c>
      <c r="Z22">
        <v>404</v>
      </c>
      <c r="AA22">
        <v>9769</v>
      </c>
      <c r="AB22">
        <v>13</v>
      </c>
      <c r="AC22">
        <v>1961</v>
      </c>
      <c r="AD22">
        <v>604</v>
      </c>
      <c r="AE22">
        <v>144</v>
      </c>
      <c r="AF22">
        <v>42.14</v>
      </c>
      <c r="AG22">
        <v>8.1</v>
      </c>
      <c r="AH22">
        <v>21</v>
      </c>
      <c r="AI22">
        <v>21</v>
      </c>
      <c r="AJ22">
        <v>141.15</v>
      </c>
      <c r="AK22">
        <v>43</v>
      </c>
      <c r="AL22">
        <f t="shared" si="2"/>
        <v>3.282558139534884</v>
      </c>
      <c r="AM22" s="10">
        <v>283</v>
      </c>
      <c r="AN22" s="5">
        <v>-0.08</v>
      </c>
      <c r="AO22" s="13">
        <v>0</v>
      </c>
      <c r="AP22" s="13">
        <v>1</v>
      </c>
      <c r="AQ22" s="13">
        <v>0</v>
      </c>
      <c r="AR22" s="13">
        <v>1</v>
      </c>
      <c r="AS22" s="13">
        <v>0</v>
      </c>
      <c r="AT22" t="str">
        <f t="shared" si="3"/>
        <v>20/21</v>
      </c>
    </row>
    <row r="23" spans="1:46" x14ac:dyDescent="0.25">
      <c r="A23" t="s">
        <v>103</v>
      </c>
      <c r="B23">
        <v>20</v>
      </c>
      <c r="C23" t="s">
        <v>29</v>
      </c>
      <c r="D23">
        <v>20</v>
      </c>
      <c r="E23">
        <v>63</v>
      </c>
      <c r="F23">
        <f t="shared" si="0"/>
        <v>-43</v>
      </c>
      <c r="G23">
        <v>5</v>
      </c>
      <c r="H23">
        <v>73</v>
      </c>
      <c r="I23">
        <v>3</v>
      </c>
      <c r="J23" s="12">
        <v>32.6</v>
      </c>
      <c r="K23" s="12">
        <v>62.2</v>
      </c>
      <c r="L23">
        <f t="shared" si="1"/>
        <v>-12.600000000000001</v>
      </c>
      <c r="M23">
        <v>319</v>
      </c>
      <c r="N23">
        <v>92</v>
      </c>
      <c r="O23">
        <v>3</v>
      </c>
      <c r="P23">
        <v>4</v>
      </c>
      <c r="Q23">
        <v>18</v>
      </c>
      <c r="R23">
        <v>2</v>
      </c>
      <c r="S23">
        <v>0</v>
      </c>
      <c r="T23">
        <v>73</v>
      </c>
      <c r="U23">
        <v>3</v>
      </c>
      <c r="V23">
        <v>4</v>
      </c>
      <c r="W23">
        <v>145</v>
      </c>
      <c r="X23">
        <v>839</v>
      </c>
      <c r="Y23">
        <v>634</v>
      </c>
      <c r="Z23">
        <v>459</v>
      </c>
      <c r="AA23">
        <v>12146</v>
      </c>
      <c r="AB23">
        <v>13</v>
      </c>
      <c r="AC23">
        <v>2405</v>
      </c>
      <c r="AD23">
        <v>666</v>
      </c>
      <c r="AE23">
        <v>170</v>
      </c>
      <c r="AF23">
        <v>62.7</v>
      </c>
      <c r="AG23">
        <v>0</v>
      </c>
      <c r="AH23">
        <v>16</v>
      </c>
      <c r="AI23">
        <v>19</v>
      </c>
      <c r="AJ23">
        <v>149.85</v>
      </c>
      <c r="AK23">
        <v>40</v>
      </c>
      <c r="AL23">
        <f t="shared" si="2"/>
        <v>3.7462499999999999</v>
      </c>
      <c r="AM23" s="12">
        <v>263</v>
      </c>
      <c r="AN23" s="5">
        <v>0.17</v>
      </c>
      <c r="AO23" s="13">
        <v>0</v>
      </c>
      <c r="AP23" s="13">
        <v>0</v>
      </c>
      <c r="AQ23" s="13">
        <v>0</v>
      </c>
      <c r="AR23" s="13">
        <v>1</v>
      </c>
      <c r="AS23" s="13">
        <v>0</v>
      </c>
      <c r="AT23" t="str">
        <f t="shared" si="3"/>
        <v>20/21</v>
      </c>
    </row>
  </sheetData>
  <mergeCells count="5">
    <mergeCell ref="D2:L2"/>
    <mergeCell ref="M2:T2"/>
    <mergeCell ref="U2:Z2"/>
    <mergeCell ref="AA2:AE2"/>
    <mergeCell ref="AF2:A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DA31-AF10-40C9-9365-9F7CB5E6DCFC}">
  <dimension ref="B2:AT23"/>
  <sheetViews>
    <sheetView zoomScale="80" zoomScaleNormal="80" workbookViewId="0">
      <pane xSplit="3" ySplit="3" topLeftCell="AF4" activePane="bottomRight" state="frozen"/>
      <selection pane="topRight" activeCell="D1" sqref="D1"/>
      <selection pane="bottomLeft" activeCell="A4" sqref="A4"/>
      <selection pane="bottomRight" activeCell="AF7" sqref="AF7"/>
    </sheetView>
  </sheetViews>
  <sheetFormatPr baseColWidth="10" defaultColWidth="11.125" defaultRowHeight="15.75" x14ac:dyDescent="0.25"/>
  <cols>
    <col min="2" max="3" width="24.125" bestFit="1" customWidth="1"/>
    <col min="4" max="4" width="14.125" bestFit="1" customWidth="1"/>
    <col min="5" max="5" width="16.125" bestFit="1" customWidth="1"/>
    <col min="6" max="6" width="19.125" bestFit="1" customWidth="1"/>
    <col min="7" max="7" width="17.125" bestFit="1" customWidth="1"/>
    <col min="8" max="8" width="18.125" bestFit="1" customWidth="1"/>
    <col min="9" max="9" width="15" bestFit="1" customWidth="1"/>
    <col min="10" max="10" width="7" bestFit="1" customWidth="1"/>
    <col min="11" max="11" width="7.125" bestFit="1" customWidth="1"/>
    <col min="12" max="12" width="9.625" bestFit="1" customWidth="1"/>
    <col min="13" max="13" width="7.375" bestFit="1" customWidth="1"/>
    <col min="14" max="14" width="11.875" bestFit="1" customWidth="1"/>
    <col min="15" max="15" width="13.625" bestFit="1" customWidth="1"/>
    <col min="16" max="16" width="14.625" bestFit="1" customWidth="1"/>
    <col min="17" max="17" width="19.375" bestFit="1" customWidth="1"/>
    <col min="18" max="18" width="18.125" bestFit="1" customWidth="1"/>
    <col min="19" max="19" width="19" bestFit="1" customWidth="1"/>
    <col min="20" max="20" width="15.875" bestFit="1" customWidth="1"/>
    <col min="21" max="21" width="11.5" bestFit="1" customWidth="1"/>
    <col min="22" max="22" width="19.625" bestFit="1" customWidth="1"/>
    <col min="23" max="23" width="9.875" bestFit="1" customWidth="1"/>
    <col min="24" max="24" width="10.875" bestFit="1" customWidth="1"/>
    <col min="25" max="25" width="10.125" bestFit="1" customWidth="1"/>
    <col min="26" max="26" width="8.125" bestFit="1" customWidth="1"/>
    <col min="27" max="27" width="12.125" bestFit="1" customWidth="1"/>
    <col min="28" max="28" width="15.375" bestFit="1" customWidth="1"/>
    <col min="29" max="29" width="17.625" bestFit="1" customWidth="1"/>
    <col min="30" max="31" width="9.625" bestFit="1" customWidth="1"/>
    <col min="32" max="32" width="16.375" customWidth="1"/>
    <col min="33" max="33" width="12.125" customWidth="1"/>
    <col min="34" max="34" width="17.625" bestFit="1" customWidth="1"/>
    <col min="35" max="35" width="19.375" bestFit="1" customWidth="1"/>
    <col min="36" max="36" width="17.375" bestFit="1" customWidth="1"/>
    <col min="37" max="37" width="13.125" bestFit="1" customWidth="1"/>
    <col min="38" max="38" width="22.875" bestFit="1" customWidth="1"/>
    <col min="39" max="39" width="27" bestFit="1" customWidth="1"/>
    <col min="40" max="40" width="13.375" bestFit="1" customWidth="1"/>
    <col min="41" max="41" width="21.125" bestFit="1" customWidth="1"/>
    <col min="42" max="42" width="15.375" bestFit="1" customWidth="1"/>
    <col min="46" max="46" width="10.5" bestFit="1" customWidth="1"/>
  </cols>
  <sheetData>
    <row r="2" spans="2:46" x14ac:dyDescent="0.25">
      <c r="B2" t="s">
        <v>87</v>
      </c>
      <c r="D2" s="99" t="s">
        <v>79</v>
      </c>
      <c r="E2" s="99"/>
      <c r="F2" s="99"/>
      <c r="G2" s="99"/>
      <c r="H2" s="99"/>
      <c r="I2" s="99"/>
      <c r="J2" s="99"/>
      <c r="K2" s="99"/>
      <c r="L2" s="99"/>
      <c r="M2" s="100" t="s">
        <v>80</v>
      </c>
      <c r="N2" s="100"/>
      <c r="O2" s="100"/>
      <c r="P2" s="100"/>
      <c r="Q2" s="100"/>
      <c r="R2" s="100"/>
      <c r="S2" s="100"/>
      <c r="T2" s="100"/>
      <c r="U2" s="101" t="s">
        <v>81</v>
      </c>
      <c r="V2" s="101"/>
      <c r="W2" s="101"/>
      <c r="X2" s="101"/>
      <c r="Y2" s="101"/>
      <c r="Z2" s="101"/>
      <c r="AA2" s="102" t="s">
        <v>82</v>
      </c>
      <c r="AB2" s="102"/>
      <c r="AC2" s="102"/>
      <c r="AD2" s="102"/>
      <c r="AE2" s="102"/>
      <c r="AF2" s="103" t="s">
        <v>83</v>
      </c>
      <c r="AG2" s="103"/>
      <c r="AH2" s="103"/>
      <c r="AI2" s="103"/>
      <c r="AJ2" s="103"/>
      <c r="AK2" s="103"/>
      <c r="AL2" s="103"/>
      <c r="AM2" s="103"/>
      <c r="AN2" s="103"/>
      <c r="AO2" s="9"/>
      <c r="AP2" s="9"/>
      <c r="AQ2" s="9"/>
      <c r="AR2" s="9"/>
      <c r="AS2" s="9"/>
    </row>
    <row r="3" spans="2:46" x14ac:dyDescent="0.25">
      <c r="B3" t="s">
        <v>0</v>
      </c>
      <c r="C3" t="s">
        <v>24</v>
      </c>
      <c r="D3" s="15" t="s">
        <v>20</v>
      </c>
      <c r="E3" s="15" t="s">
        <v>42</v>
      </c>
      <c r="F3" s="15" t="s">
        <v>43</v>
      </c>
      <c r="G3" s="15" t="s">
        <v>21</v>
      </c>
      <c r="H3" s="15" t="s">
        <v>22</v>
      </c>
      <c r="I3" s="15" t="s">
        <v>23</v>
      </c>
      <c r="J3" s="15" t="s">
        <v>46</v>
      </c>
      <c r="K3" s="15" t="s">
        <v>47</v>
      </c>
      <c r="L3" s="15" t="s">
        <v>53</v>
      </c>
      <c r="M3" s="15" t="s">
        <v>55</v>
      </c>
      <c r="N3" s="15" t="s">
        <v>54</v>
      </c>
      <c r="O3" s="15" t="s">
        <v>56</v>
      </c>
      <c r="P3" t="s">
        <v>57</v>
      </c>
      <c r="Q3" t="s">
        <v>58</v>
      </c>
      <c r="R3" t="s">
        <v>59</v>
      </c>
      <c r="S3" t="s">
        <v>60</v>
      </c>
      <c r="T3" s="15" t="s">
        <v>63</v>
      </c>
      <c r="U3" s="15" t="s">
        <v>61</v>
      </c>
      <c r="V3" s="15" t="s">
        <v>62</v>
      </c>
      <c r="W3" s="15" t="s">
        <v>64</v>
      </c>
      <c r="X3" s="15" t="s">
        <v>65</v>
      </c>
      <c r="Y3" s="15" t="s">
        <v>66</v>
      </c>
      <c r="Z3" s="15" t="s">
        <v>67</v>
      </c>
      <c r="AA3" s="15" t="s">
        <v>68</v>
      </c>
      <c r="AB3" s="15" t="s">
        <v>69</v>
      </c>
      <c r="AC3" t="s">
        <v>70</v>
      </c>
      <c r="AD3" s="15" t="s">
        <v>71</v>
      </c>
      <c r="AE3" s="15" t="s">
        <v>72</v>
      </c>
      <c r="AF3" t="s">
        <v>44</v>
      </c>
      <c r="AG3" t="s">
        <v>45</v>
      </c>
      <c r="AH3" t="s">
        <v>73</v>
      </c>
      <c r="AI3" t="s">
        <v>74</v>
      </c>
      <c r="AJ3" t="s">
        <v>51</v>
      </c>
      <c r="AK3" t="s">
        <v>75</v>
      </c>
      <c r="AL3" t="s">
        <v>76</v>
      </c>
      <c r="AM3" s="15" t="s">
        <v>77</v>
      </c>
      <c r="AN3" t="s">
        <v>78</v>
      </c>
      <c r="AO3" t="s">
        <v>101</v>
      </c>
      <c r="AP3" t="s">
        <v>102</v>
      </c>
      <c r="AQ3" t="s">
        <v>104</v>
      </c>
      <c r="AR3" t="s">
        <v>105</v>
      </c>
      <c r="AS3" t="s">
        <v>106</v>
      </c>
      <c r="AT3" t="s">
        <v>92</v>
      </c>
    </row>
    <row r="4" spans="2:46" x14ac:dyDescent="0.25">
      <c r="B4">
        <v>1</v>
      </c>
      <c r="C4" t="s">
        <v>25</v>
      </c>
      <c r="D4" s="10">
        <v>99</v>
      </c>
      <c r="E4" s="10">
        <v>26</v>
      </c>
      <c r="F4" s="10">
        <v>73</v>
      </c>
      <c r="G4">
        <v>21</v>
      </c>
      <c r="H4">
        <v>42</v>
      </c>
      <c r="I4">
        <v>1</v>
      </c>
      <c r="J4" s="10">
        <v>88.7</v>
      </c>
      <c r="K4" s="10">
        <v>24.6</v>
      </c>
      <c r="L4">
        <v>10.299999999999997</v>
      </c>
      <c r="M4">
        <v>704</v>
      </c>
      <c r="N4">
        <v>237</v>
      </c>
      <c r="O4">
        <v>7</v>
      </c>
      <c r="P4">
        <v>15</v>
      </c>
      <c r="Q4">
        <v>84</v>
      </c>
      <c r="R4">
        <v>15</v>
      </c>
      <c r="S4">
        <v>2</v>
      </c>
      <c r="T4">
        <v>66</v>
      </c>
      <c r="U4">
        <v>0</v>
      </c>
      <c r="V4">
        <v>1</v>
      </c>
      <c r="W4">
        <v>59</v>
      </c>
      <c r="X4">
        <v>227</v>
      </c>
      <c r="Y4">
        <v>403</v>
      </c>
      <c r="Z4">
        <v>321</v>
      </c>
      <c r="AA4">
        <v>24406</v>
      </c>
      <c r="AB4">
        <v>102</v>
      </c>
      <c r="AC4">
        <v>4426</v>
      </c>
      <c r="AD4">
        <v>869</v>
      </c>
      <c r="AE4">
        <v>316</v>
      </c>
      <c r="AF4">
        <v>138.9</v>
      </c>
      <c r="AG4">
        <v>93.8</v>
      </c>
      <c r="AH4">
        <v>21</v>
      </c>
      <c r="AI4">
        <v>24</v>
      </c>
      <c r="AJ4">
        <v>1000</v>
      </c>
      <c r="AK4">
        <v>39</v>
      </c>
      <c r="AL4">
        <v>25.641025641025642</v>
      </c>
      <c r="AM4" s="2">
        <v>52774</v>
      </c>
      <c r="AN4" s="5">
        <v>0.01</v>
      </c>
      <c r="AO4" s="13">
        <v>1</v>
      </c>
      <c r="AP4" s="13">
        <v>0</v>
      </c>
      <c r="AQ4" s="13">
        <v>1</v>
      </c>
      <c r="AR4" s="13">
        <v>0</v>
      </c>
      <c r="AS4" s="13">
        <v>1</v>
      </c>
      <c r="AT4" t="s">
        <v>99</v>
      </c>
    </row>
    <row r="5" spans="2:46" x14ac:dyDescent="0.25">
      <c r="B5">
        <v>2</v>
      </c>
      <c r="C5" t="s">
        <v>1</v>
      </c>
      <c r="D5" s="10">
        <v>94</v>
      </c>
      <c r="E5" s="10">
        <v>26</v>
      </c>
      <c r="F5" s="10">
        <v>68</v>
      </c>
      <c r="G5">
        <v>21</v>
      </c>
      <c r="H5">
        <v>50</v>
      </c>
      <c r="I5">
        <v>1</v>
      </c>
      <c r="J5" s="10">
        <v>88.7</v>
      </c>
      <c r="K5" s="10">
        <v>33.799999999999997</v>
      </c>
      <c r="L5">
        <v>5.2999999999999972</v>
      </c>
      <c r="M5">
        <v>721</v>
      </c>
      <c r="N5">
        <v>237</v>
      </c>
      <c r="O5">
        <v>7</v>
      </c>
      <c r="P5">
        <v>16</v>
      </c>
      <c r="Q5">
        <v>86</v>
      </c>
      <c r="R5">
        <v>8</v>
      </c>
      <c r="S5">
        <v>5</v>
      </c>
      <c r="T5">
        <v>63</v>
      </c>
      <c r="U5">
        <v>1</v>
      </c>
      <c r="V5">
        <v>0</v>
      </c>
      <c r="W5">
        <v>82</v>
      </c>
      <c r="X5">
        <v>523</v>
      </c>
      <c r="Y5">
        <v>523</v>
      </c>
      <c r="Z5">
        <v>363</v>
      </c>
      <c r="AA5">
        <v>21163</v>
      </c>
      <c r="AB5">
        <v>112</v>
      </c>
      <c r="AC5">
        <v>3505</v>
      </c>
      <c r="AD5">
        <v>897</v>
      </c>
      <c r="AE5">
        <v>282</v>
      </c>
      <c r="AF5">
        <v>87</v>
      </c>
      <c r="AG5">
        <v>29.55</v>
      </c>
      <c r="AH5">
        <v>14</v>
      </c>
      <c r="AI5">
        <v>12</v>
      </c>
      <c r="AJ5">
        <v>918.9</v>
      </c>
      <c r="AK5">
        <v>49</v>
      </c>
      <c r="AL5">
        <v>18.753061224489795</v>
      </c>
      <c r="AM5" s="2">
        <v>53352</v>
      </c>
      <c r="AN5" s="5">
        <v>0.18</v>
      </c>
      <c r="AO5" s="13">
        <v>1</v>
      </c>
      <c r="AP5" s="13">
        <v>0</v>
      </c>
      <c r="AQ5" s="13">
        <v>1</v>
      </c>
      <c r="AR5" s="13">
        <v>0</v>
      </c>
      <c r="AS5" s="13">
        <v>1</v>
      </c>
      <c r="AT5" t="s">
        <v>99</v>
      </c>
    </row>
    <row r="6" spans="2:46" x14ac:dyDescent="0.25">
      <c r="B6">
        <v>3</v>
      </c>
      <c r="C6" t="s">
        <v>2</v>
      </c>
      <c r="D6" s="10">
        <v>76</v>
      </c>
      <c r="E6" s="10">
        <v>33</v>
      </c>
      <c r="F6" s="10">
        <v>43</v>
      </c>
      <c r="G6">
        <v>16</v>
      </c>
      <c r="H6">
        <v>63</v>
      </c>
      <c r="I6">
        <v>1</v>
      </c>
      <c r="J6" s="10">
        <v>63.4</v>
      </c>
      <c r="K6" s="10">
        <v>33.200000000000003</v>
      </c>
      <c r="L6">
        <v>12.600000000000001</v>
      </c>
      <c r="M6">
        <v>583</v>
      </c>
      <c r="N6">
        <v>200</v>
      </c>
      <c r="O6">
        <v>8</v>
      </c>
      <c r="P6">
        <v>12</v>
      </c>
      <c r="Q6">
        <v>63</v>
      </c>
      <c r="R6">
        <v>14</v>
      </c>
      <c r="S6">
        <v>0</v>
      </c>
      <c r="T6">
        <v>69</v>
      </c>
      <c r="U6">
        <v>1</v>
      </c>
      <c r="V6">
        <v>6</v>
      </c>
      <c r="W6">
        <v>83</v>
      </c>
      <c r="X6">
        <v>641</v>
      </c>
      <c r="Y6">
        <v>641</v>
      </c>
      <c r="Z6">
        <v>409</v>
      </c>
      <c r="AA6">
        <v>21190</v>
      </c>
      <c r="AB6">
        <v>77</v>
      </c>
      <c r="AC6">
        <v>3698</v>
      </c>
      <c r="AD6">
        <v>745</v>
      </c>
      <c r="AE6">
        <v>241</v>
      </c>
      <c r="AF6">
        <v>118</v>
      </c>
      <c r="AG6">
        <v>148.9</v>
      </c>
      <c r="AH6">
        <v>21</v>
      </c>
      <c r="AI6">
        <v>23</v>
      </c>
      <c r="AJ6">
        <v>914.5</v>
      </c>
      <c r="AK6">
        <v>44</v>
      </c>
      <c r="AL6">
        <v>20.78409090909091</v>
      </c>
      <c r="AM6" s="2">
        <v>36443</v>
      </c>
      <c r="AN6" s="5">
        <v>-0.18</v>
      </c>
      <c r="AO6" s="13">
        <v>1</v>
      </c>
      <c r="AP6" s="13">
        <v>0</v>
      </c>
      <c r="AQ6" s="13">
        <v>1</v>
      </c>
      <c r="AR6" s="13">
        <v>0</v>
      </c>
      <c r="AS6" s="13">
        <v>1</v>
      </c>
      <c r="AT6" t="s">
        <v>99</v>
      </c>
    </row>
    <row r="7" spans="2:46" x14ac:dyDescent="0.25">
      <c r="B7">
        <v>4</v>
      </c>
      <c r="C7" t="s">
        <v>3</v>
      </c>
      <c r="D7" s="10">
        <v>69</v>
      </c>
      <c r="E7" s="10">
        <v>40</v>
      </c>
      <c r="F7" s="10">
        <v>29</v>
      </c>
      <c r="G7">
        <v>16</v>
      </c>
      <c r="H7">
        <v>69</v>
      </c>
      <c r="I7">
        <v>1</v>
      </c>
      <c r="J7" s="10">
        <v>61.2</v>
      </c>
      <c r="K7" s="10">
        <v>39.299999999999997</v>
      </c>
      <c r="L7">
        <v>7.7999999999999972</v>
      </c>
      <c r="M7">
        <v>486</v>
      </c>
      <c r="N7">
        <v>185</v>
      </c>
      <c r="O7">
        <v>5</v>
      </c>
      <c r="P7">
        <v>8</v>
      </c>
      <c r="Q7">
        <v>62</v>
      </c>
      <c r="R7">
        <v>8</v>
      </c>
      <c r="S7">
        <v>4</v>
      </c>
      <c r="T7">
        <v>62</v>
      </c>
      <c r="U7">
        <v>1</v>
      </c>
      <c r="V7">
        <v>2</v>
      </c>
      <c r="W7">
        <v>98</v>
      </c>
      <c r="X7">
        <v>793</v>
      </c>
      <c r="Y7">
        <v>793</v>
      </c>
      <c r="Z7">
        <v>386</v>
      </c>
      <c r="AA7">
        <v>17204</v>
      </c>
      <c r="AB7">
        <v>88</v>
      </c>
      <c r="AC7">
        <v>2825</v>
      </c>
      <c r="AD7">
        <v>632</v>
      </c>
      <c r="AE7">
        <v>193</v>
      </c>
      <c r="AF7">
        <v>95.9</v>
      </c>
      <c r="AG7">
        <v>34.619999999999997</v>
      </c>
      <c r="AH7">
        <v>14</v>
      </c>
      <c r="AI7">
        <v>19</v>
      </c>
      <c r="AJ7">
        <v>689.35</v>
      </c>
      <c r="AK7">
        <v>45</v>
      </c>
      <c r="AL7">
        <v>15.318888888888889</v>
      </c>
      <c r="AM7" s="2">
        <v>56523</v>
      </c>
      <c r="AN7" s="5">
        <v>0.08</v>
      </c>
      <c r="AO7" s="13">
        <v>1</v>
      </c>
      <c r="AP7" s="13">
        <v>0</v>
      </c>
      <c r="AQ7" s="13">
        <v>1</v>
      </c>
      <c r="AR7" s="13">
        <v>0</v>
      </c>
      <c r="AS7" s="13">
        <v>1</v>
      </c>
      <c r="AT7" t="s">
        <v>99</v>
      </c>
    </row>
    <row r="8" spans="2:46" x14ac:dyDescent="0.25">
      <c r="B8">
        <v>5</v>
      </c>
      <c r="C8" t="s">
        <v>6</v>
      </c>
      <c r="D8" s="10">
        <v>61</v>
      </c>
      <c r="E8" s="10">
        <v>48</v>
      </c>
      <c r="F8" s="10">
        <v>13</v>
      </c>
      <c r="G8">
        <v>13</v>
      </c>
      <c r="H8">
        <v>67</v>
      </c>
      <c r="I8">
        <v>4</v>
      </c>
      <c r="J8" s="10">
        <v>60.5</v>
      </c>
      <c r="K8" s="10">
        <v>45.7</v>
      </c>
      <c r="L8">
        <v>0.5</v>
      </c>
      <c r="M8">
        <v>581</v>
      </c>
      <c r="N8">
        <v>186</v>
      </c>
      <c r="O8">
        <v>5</v>
      </c>
      <c r="P8">
        <v>9</v>
      </c>
      <c r="Q8">
        <v>52</v>
      </c>
      <c r="R8">
        <v>10</v>
      </c>
      <c r="S8">
        <v>6</v>
      </c>
      <c r="T8">
        <v>66</v>
      </c>
      <c r="U8">
        <v>1</v>
      </c>
      <c r="V8">
        <v>6</v>
      </c>
      <c r="W8">
        <v>100</v>
      </c>
      <c r="X8">
        <v>658</v>
      </c>
      <c r="Y8">
        <v>658</v>
      </c>
      <c r="Z8">
        <v>365</v>
      </c>
      <c r="AA8">
        <v>16176</v>
      </c>
      <c r="AB8">
        <v>77</v>
      </c>
      <c r="AC8">
        <v>2876</v>
      </c>
      <c r="AD8">
        <v>633</v>
      </c>
      <c r="AE8">
        <v>208</v>
      </c>
      <c r="AF8">
        <v>167.42</v>
      </c>
      <c r="AG8">
        <v>31.4</v>
      </c>
      <c r="AH8">
        <v>13</v>
      </c>
      <c r="AI8">
        <v>20</v>
      </c>
      <c r="AJ8">
        <v>613.04999999999995</v>
      </c>
      <c r="AK8">
        <v>41</v>
      </c>
      <c r="AL8">
        <v>14.952439024390243</v>
      </c>
      <c r="AM8" s="2">
        <v>59665</v>
      </c>
      <c r="AN8" s="5">
        <v>0.22</v>
      </c>
      <c r="AO8" s="13">
        <v>0</v>
      </c>
      <c r="AP8" s="13">
        <v>0</v>
      </c>
      <c r="AQ8" s="13">
        <v>0</v>
      </c>
      <c r="AR8" s="13">
        <v>0</v>
      </c>
      <c r="AS8" s="13">
        <v>1</v>
      </c>
      <c r="AT8" t="s">
        <v>99</v>
      </c>
    </row>
    <row r="9" spans="2:46" x14ac:dyDescent="0.25">
      <c r="B9">
        <v>6</v>
      </c>
      <c r="C9" t="s">
        <v>4</v>
      </c>
      <c r="D9" s="10">
        <v>57</v>
      </c>
      <c r="E9" s="10">
        <v>57</v>
      </c>
      <c r="F9" s="10">
        <v>0</v>
      </c>
      <c r="G9">
        <v>8</v>
      </c>
      <c r="H9">
        <v>77</v>
      </c>
      <c r="I9">
        <v>2</v>
      </c>
      <c r="J9" s="10">
        <v>55.8</v>
      </c>
      <c r="K9" s="10">
        <v>53</v>
      </c>
      <c r="L9">
        <v>1.2000000000000028</v>
      </c>
      <c r="M9">
        <v>503</v>
      </c>
      <c r="N9">
        <v>179</v>
      </c>
      <c r="O9">
        <v>3</v>
      </c>
      <c r="P9">
        <v>7</v>
      </c>
      <c r="Q9">
        <v>49</v>
      </c>
      <c r="R9">
        <v>8</v>
      </c>
      <c r="S9">
        <v>0</v>
      </c>
      <c r="T9">
        <v>88</v>
      </c>
      <c r="U9">
        <v>3</v>
      </c>
      <c r="V9">
        <v>5</v>
      </c>
      <c r="W9">
        <v>124</v>
      </c>
      <c r="X9">
        <v>704</v>
      </c>
      <c r="Y9">
        <v>704</v>
      </c>
      <c r="Z9">
        <v>396</v>
      </c>
      <c r="AA9">
        <v>16690</v>
      </c>
      <c r="AB9">
        <v>80</v>
      </c>
      <c r="AC9">
        <v>2810</v>
      </c>
      <c r="AD9">
        <v>659</v>
      </c>
      <c r="AE9">
        <v>197</v>
      </c>
      <c r="AF9">
        <v>142</v>
      </c>
      <c r="AG9">
        <v>31.1</v>
      </c>
      <c r="AH9">
        <v>17</v>
      </c>
      <c r="AI9">
        <v>14</v>
      </c>
      <c r="AJ9">
        <v>769.15</v>
      </c>
      <c r="AK9">
        <v>43</v>
      </c>
      <c r="AL9">
        <v>17.88720930232558</v>
      </c>
      <c r="AM9" s="2">
        <v>73150</v>
      </c>
      <c r="AN9" s="5">
        <v>0.18</v>
      </c>
      <c r="AO9" s="13">
        <v>1</v>
      </c>
      <c r="AP9" s="13">
        <v>0</v>
      </c>
      <c r="AQ9" s="13">
        <v>0</v>
      </c>
      <c r="AR9" s="13">
        <v>0</v>
      </c>
      <c r="AS9" s="13">
        <v>1</v>
      </c>
      <c r="AT9" t="s">
        <v>99</v>
      </c>
    </row>
    <row r="10" spans="2:46" x14ac:dyDescent="0.25">
      <c r="B10">
        <v>7</v>
      </c>
      <c r="C10" t="s">
        <v>5</v>
      </c>
      <c r="D10" s="10">
        <v>60</v>
      </c>
      <c r="E10" s="10">
        <v>51</v>
      </c>
      <c r="F10" s="10">
        <v>9</v>
      </c>
      <c r="G10">
        <v>8</v>
      </c>
      <c r="H10">
        <v>52</v>
      </c>
      <c r="I10">
        <v>3</v>
      </c>
      <c r="J10" s="10">
        <v>51.4</v>
      </c>
      <c r="K10" s="10">
        <v>53.5</v>
      </c>
      <c r="L10">
        <v>8.6000000000000014</v>
      </c>
      <c r="M10">
        <v>443</v>
      </c>
      <c r="N10">
        <v>142</v>
      </c>
      <c r="O10">
        <v>4</v>
      </c>
      <c r="P10">
        <v>8</v>
      </c>
      <c r="Q10">
        <v>52</v>
      </c>
      <c r="R10">
        <v>9</v>
      </c>
      <c r="S10">
        <v>6</v>
      </c>
      <c r="T10">
        <v>59</v>
      </c>
      <c r="U10">
        <v>2</v>
      </c>
      <c r="V10">
        <v>6</v>
      </c>
      <c r="W10">
        <v>113</v>
      </c>
      <c r="X10">
        <v>781</v>
      </c>
      <c r="Y10">
        <v>781</v>
      </c>
      <c r="Z10">
        <v>323</v>
      </c>
      <c r="AA10">
        <v>14326</v>
      </c>
      <c r="AB10">
        <v>29</v>
      </c>
      <c r="AC10">
        <v>2533</v>
      </c>
      <c r="AD10">
        <v>802</v>
      </c>
      <c r="AE10">
        <v>200</v>
      </c>
      <c r="AF10">
        <v>74.5</v>
      </c>
      <c r="AG10">
        <v>4.24</v>
      </c>
      <c r="AH10">
        <v>10</v>
      </c>
      <c r="AI10">
        <v>8</v>
      </c>
      <c r="AJ10">
        <v>354.9</v>
      </c>
      <c r="AK10">
        <v>36</v>
      </c>
      <c r="AL10">
        <v>9.8583333333333325</v>
      </c>
      <c r="AM10" s="2">
        <v>58370</v>
      </c>
      <c r="AN10" s="5">
        <v>0.04</v>
      </c>
      <c r="AO10" s="13">
        <v>1</v>
      </c>
      <c r="AP10" s="13">
        <v>0</v>
      </c>
      <c r="AQ10" s="13">
        <v>0</v>
      </c>
      <c r="AR10" s="13">
        <v>0</v>
      </c>
      <c r="AS10" s="13">
        <v>0</v>
      </c>
      <c r="AT10" t="s">
        <v>99</v>
      </c>
    </row>
    <row r="11" spans="2:46" x14ac:dyDescent="0.25">
      <c r="B11">
        <v>8</v>
      </c>
      <c r="C11" t="s">
        <v>7</v>
      </c>
      <c r="D11" s="10">
        <v>62</v>
      </c>
      <c r="E11" s="10">
        <v>59</v>
      </c>
      <c r="F11" s="10">
        <v>3</v>
      </c>
      <c r="G11">
        <v>7</v>
      </c>
      <c r="H11">
        <v>55</v>
      </c>
      <c r="I11">
        <v>1</v>
      </c>
      <c r="J11" s="10">
        <v>47.8</v>
      </c>
      <c r="K11" s="10">
        <v>59.3</v>
      </c>
      <c r="L11">
        <v>14.200000000000003</v>
      </c>
      <c r="M11">
        <v>433</v>
      </c>
      <c r="N11">
        <v>164</v>
      </c>
      <c r="O11">
        <v>2</v>
      </c>
      <c r="P11">
        <v>5</v>
      </c>
      <c r="Q11">
        <v>55</v>
      </c>
      <c r="R11">
        <v>7</v>
      </c>
      <c r="S11">
        <v>4</v>
      </c>
      <c r="T11">
        <v>60</v>
      </c>
      <c r="U11">
        <v>1</v>
      </c>
      <c r="V11">
        <v>9</v>
      </c>
      <c r="W11">
        <v>132</v>
      </c>
      <c r="X11">
        <v>777</v>
      </c>
      <c r="Y11">
        <v>777</v>
      </c>
      <c r="Z11">
        <v>356</v>
      </c>
      <c r="AA11">
        <v>16129</v>
      </c>
      <c r="AB11">
        <v>65</v>
      </c>
      <c r="AC11">
        <v>2765</v>
      </c>
      <c r="AD11">
        <v>556</v>
      </c>
      <c r="AE11">
        <v>185</v>
      </c>
      <c r="AF11">
        <v>67.599999999999994</v>
      </c>
      <c r="AG11">
        <v>4</v>
      </c>
      <c r="AH11">
        <v>11</v>
      </c>
      <c r="AI11">
        <v>11</v>
      </c>
      <c r="AJ11">
        <v>526.54999999999995</v>
      </c>
      <c r="AK11">
        <v>40</v>
      </c>
      <c r="AL11">
        <v>13.163749999999999</v>
      </c>
      <c r="AM11" s="2">
        <v>32493</v>
      </c>
      <c r="AN11" s="5">
        <v>0.16</v>
      </c>
      <c r="AO11" s="13">
        <v>1</v>
      </c>
      <c r="AP11" s="13">
        <v>0</v>
      </c>
      <c r="AQ11" s="13">
        <v>0</v>
      </c>
      <c r="AR11" s="13">
        <v>0</v>
      </c>
      <c r="AS11" s="13">
        <v>0</v>
      </c>
      <c r="AT11" t="s">
        <v>99</v>
      </c>
    </row>
    <row r="12" spans="2:46" x14ac:dyDescent="0.25">
      <c r="B12">
        <v>9</v>
      </c>
      <c r="C12" t="s">
        <v>14</v>
      </c>
      <c r="D12" s="10">
        <v>42</v>
      </c>
      <c r="E12" s="10">
        <v>44</v>
      </c>
      <c r="F12" s="10">
        <v>-2</v>
      </c>
      <c r="G12">
        <v>11</v>
      </c>
      <c r="H12">
        <v>72</v>
      </c>
      <c r="I12">
        <v>2</v>
      </c>
      <c r="J12" s="10">
        <v>46.2</v>
      </c>
      <c r="K12" s="10">
        <v>42.9</v>
      </c>
      <c r="L12">
        <v>-4.2000000000000028</v>
      </c>
      <c r="M12">
        <v>482</v>
      </c>
      <c r="N12">
        <v>141</v>
      </c>
      <c r="O12">
        <v>4</v>
      </c>
      <c r="P12">
        <v>8</v>
      </c>
      <c r="Q12">
        <v>34</v>
      </c>
      <c r="R12">
        <v>8</v>
      </c>
      <c r="S12">
        <v>2</v>
      </c>
      <c r="T12">
        <v>53</v>
      </c>
      <c r="U12">
        <v>0</v>
      </c>
      <c r="V12">
        <v>4</v>
      </c>
      <c r="W12">
        <v>102</v>
      </c>
      <c r="X12">
        <v>723</v>
      </c>
      <c r="Y12">
        <v>723</v>
      </c>
      <c r="Z12">
        <v>393</v>
      </c>
      <c r="AA12">
        <v>16410</v>
      </c>
      <c r="AB12">
        <v>58</v>
      </c>
      <c r="AC12">
        <v>3069</v>
      </c>
      <c r="AD12">
        <v>728</v>
      </c>
      <c r="AE12">
        <v>200</v>
      </c>
      <c r="AF12">
        <v>75</v>
      </c>
      <c r="AG12">
        <v>78.8</v>
      </c>
      <c r="AH12">
        <v>26</v>
      </c>
      <c r="AI12">
        <v>29</v>
      </c>
      <c r="AJ12">
        <v>318</v>
      </c>
      <c r="AK12">
        <v>43</v>
      </c>
      <c r="AL12">
        <v>7.3953488372093021</v>
      </c>
      <c r="AM12" s="2">
        <v>30966</v>
      </c>
      <c r="AN12" s="5">
        <v>-7.0000000000000007E-2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t="s">
        <v>99</v>
      </c>
    </row>
    <row r="13" spans="2:46" x14ac:dyDescent="0.25">
      <c r="B13">
        <v>10</v>
      </c>
      <c r="C13" t="s">
        <v>16</v>
      </c>
      <c r="D13" s="10">
        <v>38</v>
      </c>
      <c r="E13" s="10">
        <v>43</v>
      </c>
      <c r="F13" s="10">
        <v>-5</v>
      </c>
      <c r="G13">
        <v>11</v>
      </c>
      <c r="H13">
        <v>62</v>
      </c>
      <c r="I13">
        <v>2</v>
      </c>
      <c r="J13" s="10">
        <v>37.5</v>
      </c>
      <c r="K13" s="10">
        <v>56.9</v>
      </c>
      <c r="L13">
        <v>0.5</v>
      </c>
      <c r="M13">
        <v>401</v>
      </c>
      <c r="N13">
        <v>133</v>
      </c>
      <c r="O13">
        <v>1</v>
      </c>
      <c r="P13">
        <v>5</v>
      </c>
      <c r="Q13">
        <v>30</v>
      </c>
      <c r="R13">
        <v>8</v>
      </c>
      <c r="S13">
        <v>4</v>
      </c>
      <c r="T13">
        <v>61</v>
      </c>
      <c r="U13">
        <v>1</v>
      </c>
      <c r="V13">
        <v>10</v>
      </c>
      <c r="W13">
        <v>125</v>
      </c>
      <c r="X13">
        <v>820</v>
      </c>
      <c r="Y13">
        <v>820</v>
      </c>
      <c r="Z13">
        <v>366</v>
      </c>
      <c r="AA13">
        <v>15253</v>
      </c>
      <c r="AB13">
        <v>58</v>
      </c>
      <c r="AC13">
        <v>2665</v>
      </c>
      <c r="AD13">
        <v>587</v>
      </c>
      <c r="AE13">
        <v>168</v>
      </c>
      <c r="AF13">
        <v>37.6</v>
      </c>
      <c r="AG13">
        <v>31.8</v>
      </c>
      <c r="AH13">
        <v>26</v>
      </c>
      <c r="AI13">
        <v>22</v>
      </c>
      <c r="AJ13">
        <v>376.95</v>
      </c>
      <c r="AK13">
        <v>38</v>
      </c>
      <c r="AL13">
        <v>9.9197368421052623</v>
      </c>
      <c r="AM13" s="2">
        <v>30841</v>
      </c>
      <c r="AN13" s="5">
        <v>-0.06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t="s">
        <v>99</v>
      </c>
    </row>
    <row r="14" spans="2:46" x14ac:dyDescent="0.25">
      <c r="B14">
        <v>11</v>
      </c>
      <c r="C14" t="s">
        <v>12</v>
      </c>
      <c r="D14" s="10">
        <v>44</v>
      </c>
      <c r="E14" s="10">
        <v>62</v>
      </c>
      <c r="F14" s="10">
        <v>-18</v>
      </c>
      <c r="G14">
        <v>8</v>
      </c>
      <c r="H14">
        <v>81</v>
      </c>
      <c r="I14">
        <v>2</v>
      </c>
      <c r="J14" s="10">
        <v>38.1</v>
      </c>
      <c r="K14" s="10">
        <v>57.1</v>
      </c>
      <c r="L14">
        <v>5.8999999999999986</v>
      </c>
      <c r="M14">
        <v>446</v>
      </c>
      <c r="N14">
        <v>142</v>
      </c>
      <c r="O14">
        <v>3</v>
      </c>
      <c r="P14">
        <v>9</v>
      </c>
      <c r="Q14">
        <v>37</v>
      </c>
      <c r="R14">
        <v>7</v>
      </c>
      <c r="S14">
        <v>3</v>
      </c>
      <c r="T14">
        <v>71</v>
      </c>
      <c r="U14">
        <v>2</v>
      </c>
      <c r="V14">
        <v>6</v>
      </c>
      <c r="W14">
        <v>104</v>
      </c>
      <c r="X14">
        <v>776</v>
      </c>
      <c r="Y14">
        <v>776</v>
      </c>
      <c r="Z14">
        <v>392</v>
      </c>
      <c r="AA14">
        <v>10201</v>
      </c>
      <c r="AB14">
        <v>31</v>
      </c>
      <c r="AC14">
        <v>1869</v>
      </c>
      <c r="AD14">
        <v>592</v>
      </c>
      <c r="AE14">
        <v>160</v>
      </c>
      <c r="AF14">
        <v>130.5</v>
      </c>
      <c r="AG14">
        <v>0</v>
      </c>
      <c r="AH14">
        <v>13</v>
      </c>
      <c r="AI14">
        <v>11</v>
      </c>
      <c r="AJ14">
        <v>313.89999999999998</v>
      </c>
      <c r="AK14">
        <v>34</v>
      </c>
      <c r="AL14">
        <v>9.2323529411764707</v>
      </c>
      <c r="AM14" s="2">
        <v>51487</v>
      </c>
      <c r="AN14" s="5">
        <v>0.16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t="s">
        <v>99</v>
      </c>
    </row>
    <row r="15" spans="2:46" x14ac:dyDescent="0.25">
      <c r="B15">
        <v>12</v>
      </c>
      <c r="C15" t="s">
        <v>9</v>
      </c>
      <c r="D15" s="10">
        <v>50</v>
      </c>
      <c r="E15" s="10">
        <v>46</v>
      </c>
      <c r="F15" s="10">
        <v>4</v>
      </c>
      <c r="G15">
        <v>12</v>
      </c>
      <c r="H15">
        <v>69</v>
      </c>
      <c r="I15">
        <v>1</v>
      </c>
      <c r="J15" s="10">
        <v>46.4</v>
      </c>
      <c r="K15" s="10">
        <v>40.700000000000003</v>
      </c>
      <c r="L15">
        <v>3.6000000000000014</v>
      </c>
      <c r="M15">
        <v>404</v>
      </c>
      <c r="N15">
        <v>140</v>
      </c>
      <c r="O15">
        <v>6</v>
      </c>
      <c r="P15">
        <v>6</v>
      </c>
      <c r="Q15">
        <v>45</v>
      </c>
      <c r="R15">
        <v>5</v>
      </c>
      <c r="S15">
        <v>2</v>
      </c>
      <c r="T15">
        <v>63</v>
      </c>
      <c r="U15">
        <v>2</v>
      </c>
      <c r="V15">
        <v>4</v>
      </c>
      <c r="W15">
        <v>99</v>
      </c>
      <c r="X15">
        <v>761</v>
      </c>
      <c r="Y15">
        <v>761</v>
      </c>
      <c r="Z15">
        <v>414</v>
      </c>
      <c r="AA15">
        <v>14983</v>
      </c>
      <c r="AB15">
        <v>40</v>
      </c>
      <c r="AC15">
        <v>2829</v>
      </c>
      <c r="AD15">
        <v>643</v>
      </c>
      <c r="AE15">
        <v>175</v>
      </c>
      <c r="AF15">
        <v>85.62</v>
      </c>
      <c r="AG15">
        <v>0</v>
      </c>
      <c r="AH15">
        <v>13</v>
      </c>
      <c r="AI15">
        <v>16</v>
      </c>
      <c r="AJ15">
        <v>271.05</v>
      </c>
      <c r="AK15">
        <v>33</v>
      </c>
      <c r="AL15">
        <v>8.2136363636363647</v>
      </c>
      <c r="AM15" s="2">
        <v>24588</v>
      </c>
      <c r="AN15" s="5">
        <v>0.17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t="s">
        <v>99</v>
      </c>
    </row>
    <row r="16" spans="2:46" x14ac:dyDescent="0.25">
      <c r="B16">
        <v>13</v>
      </c>
      <c r="C16" t="s">
        <v>10</v>
      </c>
      <c r="D16" s="10">
        <v>48</v>
      </c>
      <c r="E16" s="10">
        <v>56</v>
      </c>
      <c r="F16" s="10">
        <v>-8</v>
      </c>
      <c r="G16">
        <v>9</v>
      </c>
      <c r="H16">
        <v>65</v>
      </c>
      <c r="I16">
        <v>3</v>
      </c>
      <c r="J16" s="10">
        <v>45.8</v>
      </c>
      <c r="K16" s="10">
        <v>48.5</v>
      </c>
      <c r="L16">
        <v>2.2000000000000028</v>
      </c>
      <c r="M16">
        <v>436</v>
      </c>
      <c r="N16">
        <v>141</v>
      </c>
      <c r="O16">
        <v>6</v>
      </c>
      <c r="P16">
        <v>11</v>
      </c>
      <c r="Q16">
        <v>45</v>
      </c>
      <c r="R16">
        <v>3</v>
      </c>
      <c r="S16">
        <v>1</v>
      </c>
      <c r="T16">
        <v>66</v>
      </c>
      <c r="U16">
        <v>2</v>
      </c>
      <c r="V16">
        <v>5</v>
      </c>
      <c r="W16">
        <v>125</v>
      </c>
      <c r="X16">
        <v>863</v>
      </c>
      <c r="Y16">
        <v>863</v>
      </c>
      <c r="Z16">
        <v>371</v>
      </c>
      <c r="AA16">
        <v>11676</v>
      </c>
      <c r="AB16">
        <v>50</v>
      </c>
      <c r="AC16">
        <v>2198</v>
      </c>
      <c r="AD16">
        <v>640</v>
      </c>
      <c r="AE16">
        <v>159</v>
      </c>
      <c r="AF16">
        <v>38.200000000000003</v>
      </c>
      <c r="AG16">
        <v>1</v>
      </c>
      <c r="AH16">
        <v>19</v>
      </c>
      <c r="AI16">
        <v>15</v>
      </c>
      <c r="AJ16">
        <v>273.3</v>
      </c>
      <c r="AK16">
        <v>38</v>
      </c>
      <c r="AL16">
        <v>7.1921052631578952</v>
      </c>
      <c r="AM16" s="2">
        <v>16918</v>
      </c>
      <c r="AN16" s="5">
        <v>0.08</v>
      </c>
      <c r="AO16" s="13">
        <v>0</v>
      </c>
      <c r="AP16" s="13">
        <v>1</v>
      </c>
      <c r="AQ16" s="13">
        <v>0</v>
      </c>
      <c r="AR16" s="13">
        <v>0</v>
      </c>
      <c r="AS16" s="13">
        <v>0</v>
      </c>
      <c r="AT16" t="s">
        <v>99</v>
      </c>
    </row>
    <row r="17" spans="2:46" x14ac:dyDescent="0.25">
      <c r="B17">
        <v>14</v>
      </c>
      <c r="C17" t="s">
        <v>8</v>
      </c>
      <c r="D17" s="10">
        <v>52</v>
      </c>
      <c r="E17" s="10">
        <v>54</v>
      </c>
      <c r="F17" s="10">
        <v>-2</v>
      </c>
      <c r="G17">
        <v>11</v>
      </c>
      <c r="H17">
        <v>81</v>
      </c>
      <c r="I17">
        <v>2</v>
      </c>
      <c r="J17" s="10">
        <v>44</v>
      </c>
      <c r="K17" s="10">
        <v>49</v>
      </c>
      <c r="L17">
        <v>8</v>
      </c>
      <c r="M17">
        <v>461</v>
      </c>
      <c r="N17">
        <v>159</v>
      </c>
      <c r="O17">
        <v>3</v>
      </c>
      <c r="P17">
        <v>7</v>
      </c>
      <c r="Q17">
        <v>46</v>
      </c>
      <c r="R17">
        <v>7</v>
      </c>
      <c r="S17">
        <v>4</v>
      </c>
      <c r="T17">
        <v>52</v>
      </c>
      <c r="U17">
        <v>2</v>
      </c>
      <c r="V17">
        <v>6</v>
      </c>
      <c r="W17">
        <v>96</v>
      </c>
      <c r="X17">
        <v>693</v>
      </c>
      <c r="Y17">
        <v>693</v>
      </c>
      <c r="Z17">
        <v>401</v>
      </c>
      <c r="AA17">
        <v>12748</v>
      </c>
      <c r="AB17">
        <v>71</v>
      </c>
      <c r="AC17">
        <v>2130</v>
      </c>
      <c r="AD17">
        <v>670</v>
      </c>
      <c r="AE17">
        <v>196</v>
      </c>
      <c r="AF17">
        <v>129.80000000000001</v>
      </c>
      <c r="AG17">
        <v>127</v>
      </c>
      <c r="AH17">
        <v>22</v>
      </c>
      <c r="AI17">
        <v>18</v>
      </c>
      <c r="AJ17">
        <v>487.75</v>
      </c>
      <c r="AK17">
        <v>44</v>
      </c>
      <c r="AL17">
        <v>11.085227272727273</v>
      </c>
      <c r="AM17" s="2">
        <v>41681</v>
      </c>
      <c r="AN17" s="5">
        <v>0.02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t="s">
        <v>99</v>
      </c>
    </row>
    <row r="18" spans="2:46" x14ac:dyDescent="0.25">
      <c r="B18">
        <v>15</v>
      </c>
      <c r="C18" t="s">
        <v>11</v>
      </c>
      <c r="D18" s="10">
        <v>43</v>
      </c>
      <c r="E18" s="10">
        <v>67</v>
      </c>
      <c r="F18" s="10">
        <v>-24</v>
      </c>
      <c r="G18">
        <v>8</v>
      </c>
      <c r="H18">
        <v>65</v>
      </c>
      <c r="I18">
        <v>2</v>
      </c>
      <c r="J18" s="10">
        <v>44.8</v>
      </c>
      <c r="K18" s="10">
        <v>60</v>
      </c>
      <c r="L18">
        <v>-1.7999999999999972</v>
      </c>
      <c r="M18">
        <v>478</v>
      </c>
      <c r="N18">
        <v>161</v>
      </c>
      <c r="O18">
        <v>4</v>
      </c>
      <c r="P18">
        <v>9</v>
      </c>
      <c r="Q18">
        <v>34</v>
      </c>
      <c r="R18">
        <v>9</v>
      </c>
      <c r="S18">
        <v>3</v>
      </c>
      <c r="T18">
        <v>42</v>
      </c>
      <c r="U18">
        <v>2</v>
      </c>
      <c r="V18">
        <v>2</v>
      </c>
      <c r="W18">
        <v>118</v>
      </c>
      <c r="X18">
        <v>795</v>
      </c>
      <c r="Y18">
        <v>795</v>
      </c>
      <c r="Z18">
        <v>402</v>
      </c>
      <c r="AA18">
        <v>12505</v>
      </c>
      <c r="AB18">
        <v>43</v>
      </c>
      <c r="AC18">
        <v>2355</v>
      </c>
      <c r="AD18">
        <v>711</v>
      </c>
      <c r="AE18">
        <v>233</v>
      </c>
      <c r="AF18">
        <v>63.4</v>
      </c>
      <c r="AG18">
        <v>60.35</v>
      </c>
      <c r="AH18">
        <v>10</v>
      </c>
      <c r="AI18">
        <v>14</v>
      </c>
      <c r="AJ18">
        <v>274.3</v>
      </c>
      <c r="AK18">
        <v>33</v>
      </c>
      <c r="AL18">
        <v>8.3121212121212125</v>
      </c>
      <c r="AM18" s="2">
        <v>30134</v>
      </c>
      <c r="AN18" s="5">
        <v>0.18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t="s">
        <v>99</v>
      </c>
    </row>
    <row r="19" spans="2:46" x14ac:dyDescent="0.25">
      <c r="B19">
        <v>16</v>
      </c>
      <c r="C19" t="s">
        <v>15</v>
      </c>
      <c r="D19" s="10">
        <v>43</v>
      </c>
      <c r="E19" s="10">
        <v>66</v>
      </c>
      <c r="F19" s="10">
        <v>-23</v>
      </c>
      <c r="G19">
        <v>8</v>
      </c>
      <c r="H19">
        <v>82</v>
      </c>
      <c r="I19">
        <v>6</v>
      </c>
      <c r="J19" s="10">
        <v>41.2</v>
      </c>
      <c r="K19" s="10">
        <v>55.4</v>
      </c>
      <c r="L19">
        <v>1.7999999999999972</v>
      </c>
      <c r="M19">
        <v>430</v>
      </c>
      <c r="N19">
        <v>130</v>
      </c>
      <c r="O19">
        <v>6</v>
      </c>
      <c r="P19">
        <v>8</v>
      </c>
      <c r="Q19">
        <v>38</v>
      </c>
      <c r="R19">
        <v>7</v>
      </c>
      <c r="S19">
        <v>3</v>
      </c>
      <c r="T19">
        <v>53</v>
      </c>
      <c r="U19">
        <v>5</v>
      </c>
      <c r="V19">
        <v>2</v>
      </c>
      <c r="W19">
        <v>127</v>
      </c>
      <c r="X19">
        <v>815</v>
      </c>
      <c r="Y19">
        <v>815</v>
      </c>
      <c r="Z19">
        <v>368</v>
      </c>
      <c r="AA19">
        <v>10366</v>
      </c>
      <c r="AB19">
        <v>30</v>
      </c>
      <c r="AC19">
        <v>160</v>
      </c>
      <c r="AD19">
        <v>653</v>
      </c>
      <c r="AE19">
        <v>161</v>
      </c>
      <c r="AF19">
        <v>39.5</v>
      </c>
      <c r="AG19">
        <v>46</v>
      </c>
      <c r="AH19">
        <v>31</v>
      </c>
      <c r="AI19">
        <v>29</v>
      </c>
      <c r="AJ19">
        <v>479.05</v>
      </c>
      <c r="AK19">
        <v>42</v>
      </c>
      <c r="AL19">
        <v>11.405952380952382</v>
      </c>
      <c r="AM19" s="2">
        <v>38446</v>
      </c>
      <c r="AN19" s="5">
        <v>0.25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t="s">
        <v>99</v>
      </c>
    </row>
    <row r="20" spans="2:46" x14ac:dyDescent="0.25">
      <c r="B20">
        <v>17</v>
      </c>
      <c r="C20" t="s">
        <v>13</v>
      </c>
      <c r="D20" s="10">
        <v>42</v>
      </c>
      <c r="E20" s="10">
        <v>79</v>
      </c>
      <c r="F20" s="10">
        <v>-37</v>
      </c>
      <c r="G20">
        <v>5</v>
      </c>
      <c r="H20">
        <v>101</v>
      </c>
      <c r="I20">
        <v>3</v>
      </c>
      <c r="J20" s="10">
        <v>44.4</v>
      </c>
      <c r="K20" s="10">
        <v>67.8</v>
      </c>
      <c r="L20">
        <v>-2.3999999999999986</v>
      </c>
      <c r="M20">
        <v>480</v>
      </c>
      <c r="N20">
        <v>142</v>
      </c>
      <c r="O20">
        <v>5</v>
      </c>
      <c r="P20">
        <v>4</v>
      </c>
      <c r="Q20">
        <v>33</v>
      </c>
      <c r="R20">
        <v>9</v>
      </c>
      <c r="S20">
        <v>0</v>
      </c>
      <c r="T20">
        <v>63</v>
      </c>
      <c r="U20">
        <v>1</v>
      </c>
      <c r="V20">
        <v>5</v>
      </c>
      <c r="W20">
        <v>146</v>
      </c>
      <c r="X20">
        <v>621</v>
      </c>
      <c r="Y20">
        <v>621</v>
      </c>
      <c r="Z20">
        <v>469</v>
      </c>
      <c r="AA20">
        <v>13989</v>
      </c>
      <c r="AB20">
        <v>66</v>
      </c>
      <c r="AC20">
        <v>2306</v>
      </c>
      <c r="AD20">
        <v>648</v>
      </c>
      <c r="AE20">
        <v>170</v>
      </c>
      <c r="AF20">
        <v>61.05</v>
      </c>
      <c r="AG20">
        <v>0</v>
      </c>
      <c r="AH20">
        <v>14</v>
      </c>
      <c r="AI20">
        <v>14</v>
      </c>
      <c r="AJ20">
        <v>299.45</v>
      </c>
      <c r="AK20">
        <v>35</v>
      </c>
      <c r="AL20">
        <v>8.555714285714286</v>
      </c>
      <c r="AM20" s="2">
        <v>36308</v>
      </c>
      <c r="AN20" s="5">
        <v>-0.03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t="s">
        <v>99</v>
      </c>
    </row>
    <row r="21" spans="2:46" x14ac:dyDescent="0.25">
      <c r="B21">
        <v>18</v>
      </c>
      <c r="C21" t="s">
        <v>17</v>
      </c>
      <c r="D21" s="10">
        <v>34</v>
      </c>
      <c r="E21" s="10">
        <v>53</v>
      </c>
      <c r="F21" s="10">
        <v>-19</v>
      </c>
      <c r="G21">
        <v>9</v>
      </c>
      <c r="H21">
        <v>68</v>
      </c>
      <c r="I21">
        <v>2</v>
      </c>
      <c r="J21" s="10">
        <v>39.700000000000003</v>
      </c>
      <c r="K21" s="10">
        <v>57.1</v>
      </c>
      <c r="L21">
        <v>-5.7000000000000028</v>
      </c>
      <c r="M21">
        <v>405</v>
      </c>
      <c r="N21">
        <v>119</v>
      </c>
      <c r="O21">
        <v>1</v>
      </c>
      <c r="P21">
        <v>11</v>
      </c>
      <c r="Q21">
        <v>30</v>
      </c>
      <c r="R21">
        <v>4</v>
      </c>
      <c r="S21">
        <v>1</v>
      </c>
      <c r="T21">
        <v>101</v>
      </c>
      <c r="U21">
        <v>2</v>
      </c>
      <c r="V21">
        <v>5</v>
      </c>
      <c r="W21">
        <v>127</v>
      </c>
      <c r="X21">
        <v>887</v>
      </c>
      <c r="Y21">
        <v>887</v>
      </c>
      <c r="Z21">
        <v>394</v>
      </c>
      <c r="AA21">
        <v>9454</v>
      </c>
      <c r="AB21">
        <v>32</v>
      </c>
      <c r="AC21">
        <v>1999</v>
      </c>
      <c r="AD21">
        <v>747</v>
      </c>
      <c r="AE21">
        <v>183</v>
      </c>
      <c r="AF21">
        <v>49.4</v>
      </c>
      <c r="AG21">
        <v>40.5</v>
      </c>
      <c r="AH21">
        <v>8</v>
      </c>
      <c r="AI21">
        <v>6</v>
      </c>
      <c r="AJ21">
        <v>138.05000000000001</v>
      </c>
      <c r="AK21">
        <v>35</v>
      </c>
      <c r="AL21">
        <v>3.9442857142857144</v>
      </c>
      <c r="AM21" s="2">
        <v>19278</v>
      </c>
      <c r="AN21" s="5">
        <v>0.06</v>
      </c>
      <c r="AO21" s="13">
        <v>0</v>
      </c>
      <c r="AP21" s="13">
        <v>0</v>
      </c>
      <c r="AQ21" s="13">
        <v>0</v>
      </c>
      <c r="AR21" s="13">
        <v>1</v>
      </c>
      <c r="AS21" s="13">
        <v>0</v>
      </c>
      <c r="AT21" t="s">
        <v>99</v>
      </c>
    </row>
    <row r="22" spans="2:46" x14ac:dyDescent="0.25">
      <c r="B22">
        <v>19</v>
      </c>
      <c r="C22" t="s">
        <v>18</v>
      </c>
      <c r="D22" s="10">
        <v>34</v>
      </c>
      <c r="E22" s="10">
        <v>77</v>
      </c>
      <c r="F22" s="10">
        <v>-43</v>
      </c>
      <c r="G22">
        <v>4</v>
      </c>
      <c r="H22">
        <v>63</v>
      </c>
      <c r="I22">
        <v>3</v>
      </c>
      <c r="J22" s="10">
        <v>40</v>
      </c>
      <c r="K22" s="10">
        <v>64.5</v>
      </c>
      <c r="L22">
        <v>-6</v>
      </c>
      <c r="M22">
        <v>397</v>
      </c>
      <c r="N22">
        <v>123</v>
      </c>
      <c r="O22">
        <v>1</v>
      </c>
      <c r="P22">
        <v>8</v>
      </c>
      <c r="Q22">
        <v>34</v>
      </c>
      <c r="R22">
        <v>0</v>
      </c>
      <c r="S22">
        <v>2</v>
      </c>
      <c r="T22">
        <v>53</v>
      </c>
      <c r="U22">
        <v>3</v>
      </c>
      <c r="V22">
        <v>7</v>
      </c>
      <c r="W22">
        <v>113</v>
      </c>
      <c r="X22">
        <v>899</v>
      </c>
      <c r="Y22">
        <v>899</v>
      </c>
      <c r="Z22">
        <v>442</v>
      </c>
      <c r="AA22">
        <v>10423</v>
      </c>
      <c r="AB22">
        <v>35</v>
      </c>
      <c r="AC22">
        <v>2005</v>
      </c>
      <c r="AD22">
        <v>610</v>
      </c>
      <c r="AE22">
        <v>161</v>
      </c>
      <c r="AF22">
        <v>43.5</v>
      </c>
      <c r="AG22">
        <v>12.85</v>
      </c>
      <c r="AH22">
        <v>31</v>
      </c>
      <c r="AI22">
        <v>29</v>
      </c>
      <c r="AJ22">
        <v>156.19999999999999</v>
      </c>
      <c r="AK22">
        <v>47</v>
      </c>
      <c r="AL22">
        <v>3.3234042553191485</v>
      </c>
      <c r="AM22" s="2">
        <v>20614</v>
      </c>
      <c r="AN22" s="5">
        <v>-0.1</v>
      </c>
      <c r="AO22" s="13">
        <v>0</v>
      </c>
      <c r="AP22" s="13">
        <v>1</v>
      </c>
      <c r="AQ22" s="13">
        <v>0</v>
      </c>
      <c r="AR22" s="13">
        <v>1</v>
      </c>
      <c r="AS22" s="13">
        <v>0</v>
      </c>
      <c r="AT22" t="s">
        <v>99</v>
      </c>
    </row>
    <row r="23" spans="2:46" x14ac:dyDescent="0.25">
      <c r="B23">
        <v>20</v>
      </c>
      <c r="C23" t="s">
        <v>19</v>
      </c>
      <c r="D23" s="12">
        <v>23</v>
      </c>
      <c r="E23" s="12">
        <v>84</v>
      </c>
      <c r="F23" s="12">
        <v>-61</v>
      </c>
      <c r="G23">
        <v>6</v>
      </c>
      <c r="H23">
        <v>57</v>
      </c>
      <c r="I23">
        <v>1</v>
      </c>
      <c r="J23" s="14">
        <v>32.299999999999997</v>
      </c>
      <c r="K23" s="14">
        <v>75.5</v>
      </c>
      <c r="L23">
        <v>-9.2999999999999972</v>
      </c>
      <c r="M23">
        <v>370</v>
      </c>
      <c r="N23">
        <v>104</v>
      </c>
      <c r="O23">
        <v>3</v>
      </c>
      <c r="P23">
        <v>5</v>
      </c>
      <c r="Q23">
        <v>20</v>
      </c>
      <c r="R23">
        <v>3</v>
      </c>
      <c r="S23">
        <v>1</v>
      </c>
      <c r="T23">
        <v>55</v>
      </c>
      <c r="U23">
        <v>2</v>
      </c>
      <c r="V23">
        <v>12</v>
      </c>
      <c r="W23">
        <v>139</v>
      </c>
      <c r="X23">
        <v>860</v>
      </c>
      <c r="Y23">
        <v>860</v>
      </c>
      <c r="Z23">
        <v>356</v>
      </c>
      <c r="AA23">
        <v>12164</v>
      </c>
      <c r="AB23">
        <v>50</v>
      </c>
      <c r="AC23">
        <v>2289</v>
      </c>
      <c r="AD23">
        <v>568</v>
      </c>
      <c r="AE23">
        <v>165</v>
      </c>
      <c r="AF23">
        <v>63.55</v>
      </c>
      <c r="AG23">
        <v>38.4</v>
      </c>
      <c r="AH23">
        <v>32</v>
      </c>
      <c r="AI23">
        <v>31</v>
      </c>
      <c r="AJ23">
        <v>163.19999999999999</v>
      </c>
      <c r="AK23">
        <v>45</v>
      </c>
      <c r="AL23">
        <v>3.6266666666666665</v>
      </c>
      <c r="AM23" s="3">
        <v>26836</v>
      </c>
      <c r="AN23" s="5">
        <v>0.01</v>
      </c>
      <c r="AO23" s="13">
        <v>0</v>
      </c>
      <c r="AP23" s="13">
        <v>1</v>
      </c>
      <c r="AQ23" s="13">
        <v>0</v>
      </c>
      <c r="AR23" s="13">
        <v>1</v>
      </c>
      <c r="AS23" s="13">
        <v>0</v>
      </c>
      <c r="AT23" t="s">
        <v>99</v>
      </c>
    </row>
  </sheetData>
  <autoFilter ref="B3:AI23" xr:uid="{04A0DA31-AF10-40C9-9365-9F7CB5E6DCFC}">
    <sortState xmlns:xlrd2="http://schemas.microsoft.com/office/spreadsheetml/2017/richdata2" ref="B4:AI23">
      <sortCondition ref="B3:B23"/>
    </sortState>
  </autoFilter>
  <mergeCells count="5">
    <mergeCell ref="D2:L2"/>
    <mergeCell ref="M2:T2"/>
    <mergeCell ref="U2:Z2"/>
    <mergeCell ref="AA2:AE2"/>
    <mergeCell ref="AF2:A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62CE-D36F-472C-9416-4B48CB732764}">
  <dimension ref="B2:AT30"/>
  <sheetViews>
    <sheetView zoomScale="70" zoomScaleNormal="70" workbookViewId="0">
      <pane xSplit="3" ySplit="3" topLeftCell="AE4" activePane="bottomRight" state="frozen"/>
      <selection pane="topRight" activeCell="D1" sqref="D1"/>
      <selection pane="bottomLeft" activeCell="A4" sqref="A4"/>
      <selection pane="bottomRight" activeCell="AL20" sqref="AL20"/>
    </sheetView>
  </sheetViews>
  <sheetFormatPr baseColWidth="10" defaultColWidth="11.125" defaultRowHeight="15.75" x14ac:dyDescent="0.25"/>
  <cols>
    <col min="3" max="3" width="24.5" bestFit="1" customWidth="1"/>
    <col min="7" max="7" width="18.625" bestFit="1" customWidth="1"/>
    <col min="8" max="8" width="16" bestFit="1" customWidth="1"/>
    <col min="16" max="16" width="12.625" bestFit="1" customWidth="1"/>
    <col min="17" max="17" width="17.375" bestFit="1" customWidth="1"/>
    <col min="18" max="18" width="16.125" bestFit="1" customWidth="1"/>
    <col min="19" max="19" width="17" bestFit="1" customWidth="1"/>
    <col min="20" max="20" width="13.625" bestFit="1" customWidth="1"/>
    <col min="32" max="32" width="45.875" bestFit="1" customWidth="1"/>
    <col min="33" max="33" width="48.125" bestFit="1" customWidth="1"/>
    <col min="34" max="34" width="15.625" bestFit="1" customWidth="1"/>
    <col min="35" max="36" width="17.375" bestFit="1" customWidth="1"/>
    <col min="37" max="37" width="13.125" bestFit="1" customWidth="1"/>
    <col min="38" max="38" width="22.875" bestFit="1" customWidth="1"/>
    <col min="39" max="39" width="27" bestFit="1" customWidth="1"/>
  </cols>
  <sheetData>
    <row r="2" spans="2:46" x14ac:dyDescent="0.25">
      <c r="B2" t="s">
        <v>84</v>
      </c>
      <c r="D2" s="99" t="s">
        <v>79</v>
      </c>
      <c r="E2" s="99"/>
      <c r="F2" s="99"/>
      <c r="G2" s="99"/>
      <c r="H2" s="99"/>
      <c r="I2" s="99"/>
      <c r="J2" s="99"/>
      <c r="K2" s="99"/>
      <c r="L2" s="99"/>
      <c r="M2" s="100" t="s">
        <v>80</v>
      </c>
      <c r="N2" s="100"/>
      <c r="O2" s="100"/>
      <c r="P2" s="100"/>
      <c r="Q2" s="100"/>
      <c r="R2" s="100"/>
      <c r="S2" s="100"/>
      <c r="T2" s="100"/>
      <c r="U2" s="101" t="s">
        <v>81</v>
      </c>
      <c r="V2" s="101"/>
      <c r="W2" s="101"/>
      <c r="X2" s="101"/>
      <c r="Y2" s="101"/>
      <c r="Z2" s="101"/>
      <c r="AA2" s="102" t="s">
        <v>82</v>
      </c>
      <c r="AB2" s="102"/>
      <c r="AC2" s="102"/>
      <c r="AD2" s="102"/>
      <c r="AE2" s="102"/>
      <c r="AF2" s="103" t="s">
        <v>83</v>
      </c>
      <c r="AG2" s="103"/>
      <c r="AH2" s="103"/>
      <c r="AI2" s="103"/>
      <c r="AJ2" s="103"/>
      <c r="AK2" s="103"/>
      <c r="AL2" s="103"/>
      <c r="AM2" s="103"/>
      <c r="AN2" s="103"/>
      <c r="AO2" s="9"/>
      <c r="AP2" s="9"/>
      <c r="AQ2" s="9"/>
      <c r="AR2" s="9"/>
      <c r="AS2" s="9"/>
    </row>
    <row r="3" spans="2:46" x14ac:dyDescent="0.25">
      <c r="B3" t="s">
        <v>0</v>
      </c>
      <c r="C3" t="s">
        <v>24</v>
      </c>
      <c r="D3" t="s">
        <v>20</v>
      </c>
      <c r="E3" t="s">
        <v>42</v>
      </c>
      <c r="F3" t="s">
        <v>43</v>
      </c>
      <c r="G3" t="s">
        <v>21</v>
      </c>
      <c r="H3" t="s">
        <v>22</v>
      </c>
      <c r="I3" t="s">
        <v>23</v>
      </c>
      <c r="J3" t="s">
        <v>46</v>
      </c>
      <c r="K3" t="s">
        <v>47</v>
      </c>
      <c r="L3" t="s">
        <v>53</v>
      </c>
      <c r="M3" t="s">
        <v>55</v>
      </c>
      <c r="N3" t="s">
        <v>54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63</v>
      </c>
      <c r="U3" t="s">
        <v>61</v>
      </c>
      <c r="V3" t="s">
        <v>62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44</v>
      </c>
      <c r="AG3" t="s">
        <v>45</v>
      </c>
      <c r="AH3" t="s">
        <v>73</v>
      </c>
      <c r="AI3" t="s">
        <v>74</v>
      </c>
      <c r="AJ3" t="s">
        <v>51</v>
      </c>
      <c r="AK3" t="s">
        <v>75</v>
      </c>
      <c r="AL3" t="s">
        <v>76</v>
      </c>
      <c r="AM3" t="s">
        <v>77</v>
      </c>
      <c r="AN3" t="s">
        <v>78</v>
      </c>
      <c r="AO3" t="s">
        <v>101</v>
      </c>
      <c r="AP3" t="s">
        <v>102</v>
      </c>
      <c r="AQ3" t="s">
        <v>104</v>
      </c>
      <c r="AR3" t="s">
        <v>105</v>
      </c>
      <c r="AS3" t="s">
        <v>106</v>
      </c>
      <c r="AT3" t="s">
        <v>92</v>
      </c>
    </row>
    <row r="4" spans="2:46" x14ac:dyDescent="0.25">
      <c r="B4">
        <v>1</v>
      </c>
      <c r="C4" t="s">
        <v>25</v>
      </c>
      <c r="D4">
        <v>94</v>
      </c>
      <c r="E4">
        <v>33</v>
      </c>
      <c r="F4">
        <v>61</v>
      </c>
      <c r="G4">
        <v>13</v>
      </c>
      <c r="H4">
        <v>44</v>
      </c>
      <c r="I4">
        <v>1</v>
      </c>
      <c r="J4">
        <v>78.7</v>
      </c>
      <c r="K4">
        <v>32.1</v>
      </c>
      <c r="L4">
        <v>15.299999999999997</v>
      </c>
      <c r="M4">
        <v>590</v>
      </c>
      <c r="N4">
        <v>205</v>
      </c>
      <c r="O4">
        <v>9</v>
      </c>
      <c r="P4">
        <v>12</v>
      </c>
      <c r="Q4">
        <v>82</v>
      </c>
      <c r="R4">
        <v>13</v>
      </c>
      <c r="S4">
        <v>7</v>
      </c>
      <c r="T4">
        <v>51</v>
      </c>
      <c r="U4">
        <v>1</v>
      </c>
      <c r="V4">
        <v>3</v>
      </c>
      <c r="W4">
        <v>60</v>
      </c>
      <c r="X4">
        <v>391</v>
      </c>
      <c r="Y4">
        <v>272</v>
      </c>
      <c r="Z4">
        <v>347</v>
      </c>
      <c r="AA4">
        <v>25072</v>
      </c>
      <c r="AB4">
        <v>94</v>
      </c>
      <c r="AC4">
        <v>4236</v>
      </c>
      <c r="AD4">
        <v>742</v>
      </c>
      <c r="AE4">
        <v>238</v>
      </c>
      <c r="AF4">
        <v>155</v>
      </c>
      <c r="AG4">
        <v>162.16999999999999</v>
      </c>
      <c r="AH4">
        <v>29</v>
      </c>
      <c r="AI4">
        <v>24</v>
      </c>
      <c r="AJ4">
        <v>1150</v>
      </c>
      <c r="AK4">
        <v>34</v>
      </c>
      <c r="AL4" s="4">
        <f>AJ4/AK4</f>
        <v>33.823529411764703</v>
      </c>
      <c r="AM4" s="2">
        <v>53249</v>
      </c>
      <c r="AN4" s="6">
        <v>0.13</v>
      </c>
      <c r="AO4" s="13">
        <v>1</v>
      </c>
      <c r="AP4" s="13">
        <v>0</v>
      </c>
      <c r="AQ4" s="13">
        <v>1</v>
      </c>
      <c r="AR4" s="13">
        <v>0</v>
      </c>
      <c r="AS4" s="13">
        <v>1</v>
      </c>
      <c r="AT4" t="s">
        <v>100</v>
      </c>
    </row>
    <row r="5" spans="2:46" x14ac:dyDescent="0.25">
      <c r="B5">
        <v>2</v>
      </c>
      <c r="C5" t="s">
        <v>6</v>
      </c>
      <c r="D5">
        <v>88</v>
      </c>
      <c r="E5">
        <v>43</v>
      </c>
      <c r="F5">
        <v>45</v>
      </c>
      <c r="G5">
        <v>14</v>
      </c>
      <c r="H5">
        <v>51</v>
      </c>
      <c r="I5">
        <v>0</v>
      </c>
      <c r="J5">
        <v>71.900000000000006</v>
      </c>
      <c r="K5">
        <v>42</v>
      </c>
      <c r="L5">
        <v>16.099999999999994</v>
      </c>
      <c r="M5">
        <v>589</v>
      </c>
      <c r="N5">
        <v>194</v>
      </c>
      <c r="O5">
        <v>3</v>
      </c>
      <c r="P5">
        <v>12</v>
      </c>
      <c r="Q5">
        <v>79</v>
      </c>
      <c r="R5">
        <v>9</v>
      </c>
      <c r="S5">
        <v>4</v>
      </c>
      <c r="T5">
        <v>56</v>
      </c>
      <c r="U5">
        <v>1</v>
      </c>
      <c r="V5">
        <v>5</v>
      </c>
      <c r="W5">
        <v>94</v>
      </c>
      <c r="X5">
        <v>567</v>
      </c>
      <c r="Y5">
        <v>343</v>
      </c>
      <c r="Z5">
        <v>373</v>
      </c>
      <c r="AA5">
        <v>20450</v>
      </c>
      <c r="AB5">
        <v>86</v>
      </c>
      <c r="AC5">
        <v>3031</v>
      </c>
      <c r="AD5">
        <v>674</v>
      </c>
      <c r="AE5">
        <v>223</v>
      </c>
      <c r="AF5">
        <v>191.9</v>
      </c>
      <c r="AG5">
        <v>23.8</v>
      </c>
      <c r="AH5">
        <v>25</v>
      </c>
      <c r="AI5">
        <v>18</v>
      </c>
      <c r="AJ5">
        <v>1000</v>
      </c>
      <c r="AK5">
        <v>42</v>
      </c>
      <c r="AL5" s="4">
        <f t="shared" ref="AL5:AL23" si="0">AJ5/AK5</f>
        <v>23.80952380952381</v>
      </c>
      <c r="AM5" s="2">
        <v>60191</v>
      </c>
      <c r="AN5" s="6">
        <v>0.02</v>
      </c>
      <c r="AO5" s="13">
        <v>1</v>
      </c>
      <c r="AP5" s="13">
        <v>0</v>
      </c>
      <c r="AQ5" s="13">
        <v>1</v>
      </c>
      <c r="AR5" s="13">
        <v>0</v>
      </c>
      <c r="AS5" s="13">
        <v>1</v>
      </c>
      <c r="AT5" t="str">
        <f>AT4</f>
        <v>22/23</v>
      </c>
    </row>
    <row r="6" spans="2:46" x14ac:dyDescent="0.25">
      <c r="B6">
        <v>3</v>
      </c>
      <c r="C6" t="s">
        <v>4</v>
      </c>
      <c r="D6">
        <v>58</v>
      </c>
      <c r="E6">
        <v>43</v>
      </c>
      <c r="F6">
        <v>15</v>
      </c>
      <c r="G6">
        <v>17</v>
      </c>
      <c r="H6">
        <v>78</v>
      </c>
      <c r="I6">
        <v>2</v>
      </c>
      <c r="J6">
        <v>67.7</v>
      </c>
      <c r="K6">
        <v>50.4</v>
      </c>
      <c r="L6">
        <v>-9.7000000000000028</v>
      </c>
      <c r="M6">
        <v>590</v>
      </c>
      <c r="N6">
        <v>206</v>
      </c>
      <c r="O6">
        <v>3</v>
      </c>
      <c r="P6">
        <v>7</v>
      </c>
      <c r="Q6">
        <v>53</v>
      </c>
      <c r="R6">
        <v>5</v>
      </c>
      <c r="S6">
        <v>10</v>
      </c>
      <c r="T6">
        <v>79</v>
      </c>
      <c r="U6">
        <v>1</v>
      </c>
      <c r="V6">
        <v>3</v>
      </c>
      <c r="W6">
        <v>99</v>
      </c>
      <c r="X6">
        <v>734</v>
      </c>
      <c r="Y6">
        <v>400</v>
      </c>
      <c r="Z6">
        <v>424</v>
      </c>
      <c r="AA6">
        <v>19086</v>
      </c>
      <c r="AB6">
        <v>105</v>
      </c>
      <c r="AC6">
        <v>3148</v>
      </c>
      <c r="AD6">
        <v>517</v>
      </c>
      <c r="AE6">
        <v>196</v>
      </c>
      <c r="AF6">
        <v>243.28</v>
      </c>
      <c r="AG6">
        <v>23.65</v>
      </c>
      <c r="AH6">
        <v>25</v>
      </c>
      <c r="AI6">
        <v>20</v>
      </c>
      <c r="AJ6">
        <v>848</v>
      </c>
      <c r="AK6">
        <v>48</v>
      </c>
      <c r="AL6" s="4">
        <f t="shared" si="0"/>
        <v>17.666666666666668</v>
      </c>
      <c r="AM6" s="2">
        <v>73671</v>
      </c>
      <c r="AN6" s="6">
        <v>0.39</v>
      </c>
      <c r="AO6" s="13">
        <v>1</v>
      </c>
      <c r="AP6" s="13">
        <v>0</v>
      </c>
      <c r="AQ6" s="13">
        <v>1</v>
      </c>
      <c r="AR6" s="13">
        <v>0</v>
      </c>
      <c r="AS6" s="13">
        <v>1</v>
      </c>
      <c r="AT6" t="str">
        <f t="shared" ref="AT6:AT23" si="1">AT5</f>
        <v>22/23</v>
      </c>
    </row>
    <row r="7" spans="2:46" x14ac:dyDescent="0.25">
      <c r="B7">
        <v>4</v>
      </c>
      <c r="C7" t="s">
        <v>12</v>
      </c>
      <c r="D7">
        <v>68</v>
      </c>
      <c r="E7">
        <v>33</v>
      </c>
      <c r="F7">
        <v>35</v>
      </c>
      <c r="G7">
        <v>14</v>
      </c>
      <c r="H7">
        <v>61</v>
      </c>
      <c r="I7">
        <v>1</v>
      </c>
      <c r="J7">
        <v>72</v>
      </c>
      <c r="K7">
        <v>39.6</v>
      </c>
      <c r="L7">
        <v>-4</v>
      </c>
      <c r="M7">
        <v>565</v>
      </c>
      <c r="N7">
        <v>184</v>
      </c>
      <c r="O7">
        <v>6</v>
      </c>
      <c r="P7">
        <v>10</v>
      </c>
      <c r="Q7">
        <v>56</v>
      </c>
      <c r="R7">
        <v>14</v>
      </c>
      <c r="S7">
        <v>5</v>
      </c>
      <c r="T7">
        <v>71</v>
      </c>
      <c r="U7">
        <v>2</v>
      </c>
      <c r="V7">
        <v>5</v>
      </c>
      <c r="W7">
        <v>94</v>
      </c>
      <c r="X7">
        <v>646</v>
      </c>
      <c r="Y7">
        <v>360</v>
      </c>
      <c r="Z7">
        <v>406</v>
      </c>
      <c r="AA7">
        <v>16052</v>
      </c>
      <c r="AB7">
        <v>88</v>
      </c>
      <c r="AC7">
        <v>2266</v>
      </c>
      <c r="AD7">
        <v>740</v>
      </c>
      <c r="AE7">
        <v>270</v>
      </c>
      <c r="AF7">
        <v>185.35</v>
      </c>
      <c r="AG7">
        <v>14.06</v>
      </c>
      <c r="AH7">
        <v>17</v>
      </c>
      <c r="AI7">
        <v>13</v>
      </c>
      <c r="AJ7">
        <v>541.6</v>
      </c>
      <c r="AK7">
        <v>38</v>
      </c>
      <c r="AL7" s="4">
        <f>AJ8/AK8</f>
        <v>20.816666666666666</v>
      </c>
      <c r="AM7" s="2">
        <v>52127</v>
      </c>
      <c r="AN7" s="6">
        <v>0.11</v>
      </c>
      <c r="AO7" s="13">
        <v>0</v>
      </c>
      <c r="AP7" s="13">
        <v>0</v>
      </c>
      <c r="AQ7" s="13">
        <v>1</v>
      </c>
      <c r="AR7" s="13">
        <v>0</v>
      </c>
      <c r="AS7" s="13">
        <v>0</v>
      </c>
      <c r="AT7" t="str">
        <f t="shared" si="1"/>
        <v>22/23</v>
      </c>
    </row>
    <row r="8" spans="2:46" x14ac:dyDescent="0.25">
      <c r="B8">
        <v>5</v>
      </c>
      <c r="C8" t="s">
        <v>1</v>
      </c>
      <c r="D8">
        <v>75</v>
      </c>
      <c r="E8">
        <v>47</v>
      </c>
      <c r="F8">
        <v>28</v>
      </c>
      <c r="G8">
        <v>14</v>
      </c>
      <c r="H8">
        <v>57</v>
      </c>
      <c r="I8">
        <v>1</v>
      </c>
      <c r="J8">
        <v>72.599999999999994</v>
      </c>
      <c r="K8">
        <v>50.9</v>
      </c>
      <c r="L8">
        <v>2.4000000000000057</v>
      </c>
      <c r="M8">
        <v>601</v>
      </c>
      <c r="N8">
        <v>203</v>
      </c>
      <c r="O8">
        <v>2</v>
      </c>
      <c r="P8">
        <v>13</v>
      </c>
      <c r="Q8">
        <v>67</v>
      </c>
      <c r="R8">
        <v>8</v>
      </c>
      <c r="S8">
        <v>7</v>
      </c>
      <c r="T8">
        <v>84</v>
      </c>
      <c r="U8">
        <v>2</v>
      </c>
      <c r="V8">
        <v>4</v>
      </c>
      <c r="W8">
        <v>111</v>
      </c>
      <c r="X8">
        <v>540</v>
      </c>
      <c r="Y8">
        <v>370</v>
      </c>
      <c r="Z8">
        <v>405</v>
      </c>
      <c r="AA8">
        <v>22401</v>
      </c>
      <c r="AB8">
        <v>103</v>
      </c>
      <c r="AC8">
        <v>3416</v>
      </c>
      <c r="AD8">
        <v>799</v>
      </c>
      <c r="AE8">
        <v>235</v>
      </c>
      <c r="AF8">
        <v>137.30000000000001</v>
      </c>
      <c r="AG8">
        <v>80.7</v>
      </c>
      <c r="AH8">
        <v>8</v>
      </c>
      <c r="AI8">
        <v>11</v>
      </c>
      <c r="AJ8">
        <v>811.85</v>
      </c>
      <c r="AK8">
        <v>39</v>
      </c>
      <c r="AL8" s="4">
        <f>AJ11/AK11</f>
        <v>19.091176470588238</v>
      </c>
      <c r="AM8" s="2">
        <v>53163</v>
      </c>
      <c r="AN8" s="6">
        <v>0.26</v>
      </c>
      <c r="AO8" s="13">
        <v>1</v>
      </c>
      <c r="AP8" s="13">
        <v>0</v>
      </c>
      <c r="AQ8" s="13">
        <v>0</v>
      </c>
      <c r="AR8" s="13">
        <v>0</v>
      </c>
      <c r="AS8" s="13">
        <v>1</v>
      </c>
      <c r="AT8" t="str">
        <f t="shared" si="1"/>
        <v>22/23</v>
      </c>
    </row>
    <row r="9" spans="2:46" x14ac:dyDescent="0.25">
      <c r="B9">
        <v>6</v>
      </c>
      <c r="C9" t="s">
        <v>14</v>
      </c>
      <c r="D9">
        <v>72</v>
      </c>
      <c r="E9">
        <v>53</v>
      </c>
      <c r="F9">
        <v>19</v>
      </c>
      <c r="G9">
        <v>12</v>
      </c>
      <c r="H9">
        <v>58</v>
      </c>
      <c r="I9">
        <v>0</v>
      </c>
      <c r="J9">
        <v>73.3</v>
      </c>
      <c r="K9">
        <v>50.2</v>
      </c>
      <c r="L9">
        <v>-1.2999999999999972</v>
      </c>
      <c r="M9">
        <v>607</v>
      </c>
      <c r="N9">
        <v>219</v>
      </c>
      <c r="O9">
        <v>6</v>
      </c>
      <c r="P9">
        <v>10</v>
      </c>
      <c r="Q9">
        <v>63</v>
      </c>
      <c r="R9">
        <v>9</v>
      </c>
      <c r="S9">
        <v>3</v>
      </c>
      <c r="T9">
        <v>70</v>
      </c>
      <c r="U9">
        <v>6</v>
      </c>
      <c r="V9">
        <v>8</v>
      </c>
      <c r="W9">
        <v>82</v>
      </c>
      <c r="X9">
        <v>412</v>
      </c>
      <c r="Y9">
        <v>340</v>
      </c>
      <c r="Z9">
        <v>427</v>
      </c>
      <c r="AA9">
        <v>21280</v>
      </c>
      <c r="AB9">
        <v>81</v>
      </c>
      <c r="AC9">
        <v>3374</v>
      </c>
      <c r="AD9">
        <v>694</v>
      </c>
      <c r="AE9">
        <v>233</v>
      </c>
      <c r="AF9">
        <v>55.7</v>
      </c>
      <c r="AG9">
        <v>137.9</v>
      </c>
      <c r="AH9">
        <v>21</v>
      </c>
      <c r="AI9">
        <v>23</v>
      </c>
      <c r="AJ9">
        <v>529.83000000000004</v>
      </c>
      <c r="AK9">
        <v>42</v>
      </c>
      <c r="AL9" s="4">
        <f>AJ7/AK7</f>
        <v>14.252631578947369</v>
      </c>
      <c r="AM9" s="2">
        <v>31477</v>
      </c>
      <c r="AN9" s="6">
        <v>0.12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t="str">
        <f t="shared" si="1"/>
        <v>22/23</v>
      </c>
    </row>
    <row r="10" spans="2:46" x14ac:dyDescent="0.25">
      <c r="B10">
        <v>7</v>
      </c>
      <c r="C10" t="s">
        <v>8</v>
      </c>
      <c r="D10">
        <v>51</v>
      </c>
      <c r="E10">
        <v>46</v>
      </c>
      <c r="F10">
        <v>5</v>
      </c>
      <c r="G10">
        <v>12</v>
      </c>
      <c r="H10">
        <v>80</v>
      </c>
      <c r="I10">
        <v>1</v>
      </c>
      <c r="J10">
        <v>50.2</v>
      </c>
      <c r="K10">
        <v>52.5</v>
      </c>
      <c r="L10">
        <v>0.79999999999999716</v>
      </c>
      <c r="M10">
        <v>427</v>
      </c>
      <c r="N10">
        <v>145</v>
      </c>
      <c r="O10">
        <v>3</v>
      </c>
      <c r="P10">
        <v>6</v>
      </c>
      <c r="Q10">
        <v>44</v>
      </c>
      <c r="R10">
        <v>7</v>
      </c>
      <c r="S10">
        <v>5</v>
      </c>
      <c r="T10">
        <v>58</v>
      </c>
      <c r="U10">
        <v>4</v>
      </c>
      <c r="V10">
        <v>6</v>
      </c>
      <c r="W10">
        <v>108</v>
      </c>
      <c r="X10">
        <v>663</v>
      </c>
      <c r="Y10">
        <v>338</v>
      </c>
      <c r="Z10">
        <v>417</v>
      </c>
      <c r="AA10">
        <v>15940</v>
      </c>
      <c r="AB10">
        <v>54</v>
      </c>
      <c r="AC10">
        <v>2576</v>
      </c>
      <c r="AD10">
        <v>561</v>
      </c>
      <c r="AE10">
        <v>163</v>
      </c>
      <c r="AF10">
        <v>100.14</v>
      </c>
      <c r="AG10">
        <v>54</v>
      </c>
      <c r="AH10">
        <v>23</v>
      </c>
      <c r="AI10">
        <v>22</v>
      </c>
      <c r="AJ10">
        <v>509.55</v>
      </c>
      <c r="AK10">
        <v>43</v>
      </c>
      <c r="AL10" s="4">
        <f t="shared" si="0"/>
        <v>11.85</v>
      </c>
      <c r="AM10" s="2">
        <v>39485</v>
      </c>
      <c r="AN10" s="6">
        <v>0.19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t="str">
        <f t="shared" si="1"/>
        <v>22/23</v>
      </c>
    </row>
    <row r="11" spans="2:46" x14ac:dyDescent="0.25">
      <c r="B11">
        <v>8</v>
      </c>
      <c r="C11" t="s">
        <v>3</v>
      </c>
      <c r="D11">
        <v>70</v>
      </c>
      <c r="E11">
        <v>63</v>
      </c>
      <c r="F11">
        <v>7</v>
      </c>
      <c r="G11">
        <v>10</v>
      </c>
      <c r="H11">
        <v>77</v>
      </c>
      <c r="I11">
        <v>3</v>
      </c>
      <c r="J11">
        <v>57.1</v>
      </c>
      <c r="K11">
        <v>49.7</v>
      </c>
      <c r="L11">
        <v>12.899999999999999</v>
      </c>
      <c r="M11">
        <v>512</v>
      </c>
      <c r="N11">
        <v>186</v>
      </c>
      <c r="O11">
        <v>5</v>
      </c>
      <c r="P11">
        <v>15</v>
      </c>
      <c r="Q11">
        <v>60</v>
      </c>
      <c r="R11">
        <v>10</v>
      </c>
      <c r="S11">
        <v>4</v>
      </c>
      <c r="T11">
        <v>67</v>
      </c>
      <c r="U11">
        <v>1</v>
      </c>
      <c r="V11">
        <v>4</v>
      </c>
      <c r="W11">
        <v>109</v>
      </c>
      <c r="X11">
        <v>725</v>
      </c>
      <c r="Y11">
        <v>353</v>
      </c>
      <c r="Z11">
        <v>424</v>
      </c>
      <c r="AA11">
        <v>18042</v>
      </c>
      <c r="AB11">
        <v>74</v>
      </c>
      <c r="AC11">
        <v>2662</v>
      </c>
      <c r="AD11">
        <v>719</v>
      </c>
      <c r="AE11">
        <v>203</v>
      </c>
      <c r="AF11">
        <v>177.9</v>
      </c>
      <c r="AG11">
        <v>38.75</v>
      </c>
      <c r="AH11">
        <v>15</v>
      </c>
      <c r="AI11">
        <v>14</v>
      </c>
      <c r="AJ11">
        <v>649.1</v>
      </c>
      <c r="AK11">
        <v>34</v>
      </c>
      <c r="AL11" s="4">
        <f t="shared" si="0"/>
        <v>19.091176470588238</v>
      </c>
      <c r="AM11" s="2">
        <v>61585</v>
      </c>
      <c r="AN11" s="6">
        <v>0.13</v>
      </c>
      <c r="AO11" s="13">
        <v>1</v>
      </c>
      <c r="AP11" s="13">
        <v>0</v>
      </c>
      <c r="AQ11" s="13">
        <v>0</v>
      </c>
      <c r="AR11" s="13">
        <v>0</v>
      </c>
      <c r="AS11" s="13">
        <v>1</v>
      </c>
      <c r="AT11" t="str">
        <f t="shared" si="1"/>
        <v>22/23</v>
      </c>
    </row>
    <row r="12" spans="2:46" x14ac:dyDescent="0.25">
      <c r="B12">
        <v>9</v>
      </c>
      <c r="C12" t="s">
        <v>10</v>
      </c>
      <c r="D12">
        <v>58</v>
      </c>
      <c r="E12">
        <v>46</v>
      </c>
      <c r="F12">
        <v>12</v>
      </c>
      <c r="G12">
        <v>12</v>
      </c>
      <c r="H12">
        <v>57</v>
      </c>
      <c r="I12">
        <v>1</v>
      </c>
      <c r="J12">
        <v>56.8</v>
      </c>
      <c r="K12">
        <v>49.9</v>
      </c>
      <c r="L12">
        <v>1.2000000000000028</v>
      </c>
      <c r="M12">
        <v>400</v>
      </c>
      <c r="N12">
        <v>147</v>
      </c>
      <c r="O12">
        <v>7</v>
      </c>
      <c r="P12">
        <v>10</v>
      </c>
      <c r="Q12">
        <v>52</v>
      </c>
      <c r="R12">
        <v>6</v>
      </c>
      <c r="S12">
        <v>6</v>
      </c>
      <c r="T12">
        <v>72</v>
      </c>
      <c r="U12">
        <v>3</v>
      </c>
      <c r="V12">
        <v>2</v>
      </c>
      <c r="W12">
        <v>154</v>
      </c>
      <c r="X12">
        <v>770</v>
      </c>
      <c r="Y12">
        <v>337</v>
      </c>
      <c r="Z12">
        <v>354</v>
      </c>
      <c r="AA12">
        <v>13920</v>
      </c>
      <c r="AB12">
        <v>53</v>
      </c>
      <c r="AC12">
        <v>2222</v>
      </c>
      <c r="AD12">
        <v>661</v>
      </c>
      <c r="AE12">
        <v>163</v>
      </c>
      <c r="AF12">
        <v>51.5</v>
      </c>
      <c r="AG12">
        <v>3.6</v>
      </c>
      <c r="AH12">
        <v>23</v>
      </c>
      <c r="AI12">
        <v>21</v>
      </c>
      <c r="AJ12">
        <v>371.2</v>
      </c>
      <c r="AK12">
        <v>36</v>
      </c>
      <c r="AL12" s="4">
        <f t="shared" si="0"/>
        <v>10.31111111111111</v>
      </c>
      <c r="AM12" s="2">
        <v>17078</v>
      </c>
      <c r="AN12" s="6">
        <v>0.21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t="str">
        <f t="shared" si="1"/>
        <v>22/23</v>
      </c>
    </row>
    <row r="13" spans="2:46" x14ac:dyDescent="0.25">
      <c r="B13">
        <v>10</v>
      </c>
      <c r="C13" t="s">
        <v>27</v>
      </c>
      <c r="D13">
        <v>55</v>
      </c>
      <c r="E13">
        <v>53</v>
      </c>
      <c r="F13">
        <v>2</v>
      </c>
      <c r="G13">
        <v>9</v>
      </c>
      <c r="H13">
        <v>80</v>
      </c>
      <c r="I13">
        <v>1</v>
      </c>
      <c r="J13">
        <v>46.2</v>
      </c>
      <c r="K13">
        <v>63.8</v>
      </c>
      <c r="L13">
        <v>8.7999999999999972</v>
      </c>
      <c r="M13">
        <v>420</v>
      </c>
      <c r="N13">
        <v>137</v>
      </c>
      <c r="O13">
        <v>5</v>
      </c>
      <c r="P13">
        <v>15</v>
      </c>
      <c r="Q13">
        <v>50</v>
      </c>
      <c r="R13">
        <v>6</v>
      </c>
      <c r="S13">
        <v>3</v>
      </c>
      <c r="T13">
        <v>60</v>
      </c>
      <c r="U13">
        <v>2</v>
      </c>
      <c r="V13">
        <v>8</v>
      </c>
      <c r="W13">
        <v>144</v>
      </c>
      <c r="X13">
        <v>714</v>
      </c>
      <c r="Y13">
        <v>349</v>
      </c>
      <c r="Z13">
        <v>411</v>
      </c>
      <c r="AA13">
        <v>16197</v>
      </c>
      <c r="AB13">
        <v>20</v>
      </c>
      <c r="AC13">
        <v>2493</v>
      </c>
      <c r="AD13">
        <v>769</v>
      </c>
      <c r="AE13">
        <v>182</v>
      </c>
      <c r="AF13">
        <v>72.8</v>
      </c>
      <c r="AG13">
        <v>103.6</v>
      </c>
      <c r="AH13">
        <v>20</v>
      </c>
      <c r="AI13">
        <v>21</v>
      </c>
      <c r="AJ13">
        <v>299.25</v>
      </c>
      <c r="AK13">
        <v>47</v>
      </c>
      <c r="AL13" s="4">
        <f t="shared" si="0"/>
        <v>6.3670212765957448</v>
      </c>
      <c r="AM13" s="2">
        <v>23746</v>
      </c>
      <c r="AN13" s="6">
        <v>0.01</v>
      </c>
      <c r="AO13" s="13">
        <v>0</v>
      </c>
      <c r="AP13" s="13">
        <v>1</v>
      </c>
      <c r="AQ13" s="13">
        <v>0</v>
      </c>
      <c r="AR13" s="13">
        <v>0</v>
      </c>
      <c r="AS13" s="13">
        <v>0</v>
      </c>
      <c r="AT13" t="str">
        <f t="shared" si="1"/>
        <v>22/23</v>
      </c>
    </row>
    <row r="14" spans="2:46" x14ac:dyDescent="0.25">
      <c r="B14">
        <v>11</v>
      </c>
      <c r="C14" t="s">
        <v>9</v>
      </c>
      <c r="D14">
        <v>40</v>
      </c>
      <c r="E14">
        <v>49</v>
      </c>
      <c r="F14">
        <v>-9</v>
      </c>
      <c r="G14">
        <v>9</v>
      </c>
      <c r="H14">
        <v>82</v>
      </c>
      <c r="I14">
        <v>3</v>
      </c>
      <c r="J14">
        <v>39.299999999999997</v>
      </c>
      <c r="K14">
        <v>48.1</v>
      </c>
      <c r="L14">
        <v>0.70000000000000284</v>
      </c>
      <c r="M14">
        <v>423</v>
      </c>
      <c r="N14">
        <v>133</v>
      </c>
      <c r="O14">
        <v>1</v>
      </c>
      <c r="P14">
        <v>7</v>
      </c>
      <c r="Q14">
        <v>35</v>
      </c>
      <c r="R14">
        <v>5</v>
      </c>
      <c r="S14">
        <v>5</v>
      </c>
      <c r="T14">
        <v>58</v>
      </c>
      <c r="U14">
        <v>3</v>
      </c>
      <c r="V14">
        <v>4</v>
      </c>
      <c r="W14">
        <v>114</v>
      </c>
      <c r="X14">
        <v>788</v>
      </c>
      <c r="Y14">
        <v>421</v>
      </c>
      <c r="Z14">
        <v>446</v>
      </c>
      <c r="AA14">
        <v>15707</v>
      </c>
      <c r="AB14">
        <v>41</v>
      </c>
      <c r="AC14">
        <v>2644</v>
      </c>
      <c r="AD14">
        <v>591</v>
      </c>
      <c r="AE14">
        <v>186</v>
      </c>
      <c r="AF14">
        <v>46.6</v>
      </c>
      <c r="AG14">
        <v>5.46</v>
      </c>
      <c r="AH14">
        <v>14</v>
      </c>
      <c r="AI14">
        <v>12</v>
      </c>
      <c r="AJ14">
        <v>323.05</v>
      </c>
      <c r="AK14">
        <v>39</v>
      </c>
      <c r="AL14" s="4">
        <f t="shared" si="0"/>
        <v>8.2833333333333332</v>
      </c>
      <c r="AM14" s="2">
        <v>24952</v>
      </c>
      <c r="AN14" s="6">
        <v>0.15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t="str">
        <f t="shared" si="1"/>
        <v>22/23</v>
      </c>
    </row>
    <row r="15" spans="2:46" x14ac:dyDescent="0.25">
      <c r="B15">
        <v>12</v>
      </c>
      <c r="C15" t="s">
        <v>2</v>
      </c>
      <c r="D15">
        <v>38</v>
      </c>
      <c r="E15">
        <v>47</v>
      </c>
      <c r="F15">
        <v>-9</v>
      </c>
      <c r="G15">
        <v>10</v>
      </c>
      <c r="H15">
        <v>81</v>
      </c>
      <c r="I15">
        <v>3</v>
      </c>
      <c r="J15">
        <v>49.5</v>
      </c>
      <c r="K15">
        <v>52.5</v>
      </c>
      <c r="L15">
        <v>-11.5</v>
      </c>
      <c r="M15">
        <v>481</v>
      </c>
      <c r="N15">
        <v>151</v>
      </c>
      <c r="O15">
        <v>3</v>
      </c>
      <c r="P15">
        <v>5</v>
      </c>
      <c r="Q15">
        <v>33</v>
      </c>
      <c r="R15">
        <v>6</v>
      </c>
      <c r="S15">
        <v>1</v>
      </c>
      <c r="T15">
        <v>74</v>
      </c>
      <c r="U15">
        <v>3</v>
      </c>
      <c r="V15">
        <v>1</v>
      </c>
      <c r="W15">
        <v>115</v>
      </c>
      <c r="X15">
        <v>628</v>
      </c>
      <c r="Y15">
        <v>445</v>
      </c>
      <c r="Z15">
        <v>397</v>
      </c>
      <c r="AA15">
        <v>21149</v>
      </c>
      <c r="AB15">
        <v>58</v>
      </c>
      <c r="AC15">
        <v>3286</v>
      </c>
      <c r="AD15">
        <v>693</v>
      </c>
      <c r="AE15">
        <v>209</v>
      </c>
      <c r="AF15">
        <v>611.49</v>
      </c>
      <c r="AG15">
        <v>67.8</v>
      </c>
      <c r="AH15">
        <v>24</v>
      </c>
      <c r="AI15">
        <v>23</v>
      </c>
      <c r="AJ15">
        <v>994.95</v>
      </c>
      <c r="AK15">
        <v>43</v>
      </c>
      <c r="AL15" s="4">
        <f t="shared" si="0"/>
        <v>23.138372093023257</v>
      </c>
      <c r="AM15" s="2">
        <v>40002</v>
      </c>
      <c r="AN15" s="6">
        <v>0.12</v>
      </c>
      <c r="AO15" s="13">
        <v>1</v>
      </c>
      <c r="AP15" s="13">
        <v>0</v>
      </c>
      <c r="AQ15" s="13">
        <v>0</v>
      </c>
      <c r="AR15" s="13">
        <v>0</v>
      </c>
      <c r="AS15" s="13">
        <v>1</v>
      </c>
      <c r="AT15" t="str">
        <f t="shared" si="1"/>
        <v>22/23</v>
      </c>
    </row>
    <row r="16" spans="2:46" x14ac:dyDescent="0.25">
      <c r="B16">
        <v>13</v>
      </c>
      <c r="C16" t="s">
        <v>16</v>
      </c>
      <c r="D16">
        <v>31</v>
      </c>
      <c r="E16">
        <v>58</v>
      </c>
      <c r="F16">
        <v>-27</v>
      </c>
      <c r="G16">
        <v>11</v>
      </c>
      <c r="H16">
        <v>85</v>
      </c>
      <c r="I16">
        <v>6</v>
      </c>
      <c r="J16">
        <v>36.799999999999997</v>
      </c>
      <c r="K16">
        <v>59.9</v>
      </c>
      <c r="L16">
        <v>-5.7999999999999972</v>
      </c>
      <c r="M16">
        <v>409</v>
      </c>
      <c r="N16">
        <v>119</v>
      </c>
      <c r="O16">
        <v>3</v>
      </c>
      <c r="P16">
        <v>2</v>
      </c>
      <c r="Q16">
        <v>28</v>
      </c>
      <c r="R16">
        <v>4</v>
      </c>
      <c r="S16">
        <v>5</v>
      </c>
      <c r="T16">
        <v>62</v>
      </c>
      <c r="U16">
        <v>1</v>
      </c>
      <c r="V16">
        <v>4</v>
      </c>
      <c r="W16">
        <v>115</v>
      </c>
      <c r="X16">
        <v>780</v>
      </c>
      <c r="Y16">
        <v>370</v>
      </c>
      <c r="Z16">
        <v>463</v>
      </c>
      <c r="AA16">
        <v>16712</v>
      </c>
      <c r="AB16">
        <v>49</v>
      </c>
      <c r="AC16">
        <v>2681</v>
      </c>
      <c r="AD16">
        <v>661</v>
      </c>
      <c r="AE16">
        <v>185</v>
      </c>
      <c r="AF16">
        <v>177.11</v>
      </c>
      <c r="AG16">
        <v>62.87</v>
      </c>
      <c r="AH16">
        <v>32</v>
      </c>
      <c r="AI16">
        <v>28</v>
      </c>
      <c r="AJ16">
        <v>497.65</v>
      </c>
      <c r="AK16">
        <v>43</v>
      </c>
      <c r="AL16" s="4">
        <f t="shared" si="0"/>
        <v>11.573255813953487</v>
      </c>
      <c r="AM16" s="2">
        <v>31482</v>
      </c>
      <c r="AN16" s="6">
        <v>0.27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t="str">
        <f t="shared" si="1"/>
        <v>22/23</v>
      </c>
    </row>
    <row r="17" spans="2:46" x14ac:dyDescent="0.25">
      <c r="B17">
        <v>14</v>
      </c>
      <c r="C17" t="s">
        <v>5</v>
      </c>
      <c r="D17">
        <v>42</v>
      </c>
      <c r="E17">
        <v>55</v>
      </c>
      <c r="F17">
        <v>-13</v>
      </c>
      <c r="G17">
        <v>9</v>
      </c>
      <c r="H17">
        <v>44</v>
      </c>
      <c r="I17">
        <v>0</v>
      </c>
      <c r="J17">
        <v>49.2</v>
      </c>
      <c r="K17">
        <v>53</v>
      </c>
      <c r="L17">
        <v>-7.2000000000000028</v>
      </c>
      <c r="M17">
        <v>466</v>
      </c>
      <c r="N17">
        <v>133</v>
      </c>
      <c r="O17">
        <v>6</v>
      </c>
      <c r="P17">
        <v>8</v>
      </c>
      <c r="Q17">
        <v>34</v>
      </c>
      <c r="R17">
        <v>8</v>
      </c>
      <c r="S17">
        <v>1</v>
      </c>
      <c r="T17">
        <v>62</v>
      </c>
      <c r="U17">
        <v>1</v>
      </c>
      <c r="V17">
        <v>6</v>
      </c>
      <c r="W17">
        <v>115</v>
      </c>
      <c r="X17">
        <v>779</v>
      </c>
      <c r="Y17">
        <v>335</v>
      </c>
      <c r="Z17">
        <v>362</v>
      </c>
      <c r="AA17">
        <v>14638</v>
      </c>
      <c r="AB17">
        <v>41</v>
      </c>
      <c r="AC17">
        <v>2092</v>
      </c>
      <c r="AD17">
        <v>768</v>
      </c>
      <c r="AE17">
        <v>206</v>
      </c>
      <c r="AF17">
        <v>186.5</v>
      </c>
      <c r="AG17">
        <v>21.55</v>
      </c>
      <c r="AH17">
        <v>13</v>
      </c>
      <c r="AI17">
        <v>13</v>
      </c>
      <c r="AJ17">
        <v>465.75</v>
      </c>
      <c r="AK17">
        <v>44</v>
      </c>
      <c r="AL17" s="4">
        <f t="shared" si="0"/>
        <v>10.585227272727273</v>
      </c>
      <c r="AM17" s="2">
        <v>62462</v>
      </c>
      <c r="AN17" s="6">
        <v>0.18</v>
      </c>
      <c r="AO17" s="13">
        <v>1</v>
      </c>
      <c r="AP17" s="13">
        <v>0</v>
      </c>
      <c r="AQ17" s="13">
        <v>0</v>
      </c>
      <c r="AR17" s="13">
        <v>0</v>
      </c>
      <c r="AS17" s="13">
        <v>0</v>
      </c>
      <c r="AT17" t="str">
        <f t="shared" si="1"/>
        <v>22/23</v>
      </c>
    </row>
    <row r="18" spans="2:46" x14ac:dyDescent="0.25">
      <c r="B18">
        <v>15</v>
      </c>
      <c r="C18" t="s">
        <v>85</v>
      </c>
      <c r="D18">
        <v>37</v>
      </c>
      <c r="E18">
        <v>71</v>
      </c>
      <c r="F18">
        <v>-34</v>
      </c>
      <c r="G18">
        <v>8</v>
      </c>
      <c r="H18">
        <v>68</v>
      </c>
      <c r="I18">
        <v>0</v>
      </c>
      <c r="J18">
        <v>38.6</v>
      </c>
      <c r="K18">
        <v>63.9</v>
      </c>
      <c r="L18">
        <v>-1.6000000000000014</v>
      </c>
      <c r="M18">
        <v>358</v>
      </c>
      <c r="N18">
        <v>126</v>
      </c>
      <c r="O18">
        <v>0</v>
      </c>
      <c r="P18">
        <v>5</v>
      </c>
      <c r="Q18">
        <v>34</v>
      </c>
      <c r="R18">
        <v>3</v>
      </c>
      <c r="S18">
        <v>1</v>
      </c>
      <c r="T18">
        <v>38</v>
      </c>
      <c r="U18">
        <v>3</v>
      </c>
      <c r="V18">
        <v>7</v>
      </c>
      <c r="W18">
        <v>136</v>
      </c>
      <c r="X18">
        <v>971</v>
      </c>
      <c r="Y18">
        <v>371</v>
      </c>
      <c r="Z18">
        <v>391</v>
      </c>
      <c r="AA18">
        <v>13931</v>
      </c>
      <c r="AB18">
        <v>49</v>
      </c>
      <c r="AC18">
        <v>2147</v>
      </c>
      <c r="AD18">
        <v>509</v>
      </c>
      <c r="AE18">
        <v>144</v>
      </c>
      <c r="AF18">
        <v>83.1</v>
      </c>
      <c r="AG18">
        <v>0</v>
      </c>
      <c r="AH18">
        <v>17</v>
      </c>
      <c r="AI18">
        <v>13</v>
      </c>
      <c r="AJ18">
        <v>287.2</v>
      </c>
      <c r="AK18">
        <v>47</v>
      </c>
      <c r="AL18" s="4">
        <f t="shared" si="0"/>
        <v>6.1106382978723399</v>
      </c>
      <c r="AM18" s="2">
        <v>10362</v>
      </c>
      <c r="AN18" s="6">
        <v>0.15</v>
      </c>
      <c r="AO18" s="13">
        <v>0</v>
      </c>
      <c r="AP18" s="13">
        <v>1</v>
      </c>
      <c r="AQ18" s="13">
        <v>0</v>
      </c>
      <c r="AR18" s="13">
        <v>0</v>
      </c>
      <c r="AS18" s="13">
        <v>0</v>
      </c>
      <c r="AT18" t="str">
        <f t="shared" si="1"/>
        <v>22/23</v>
      </c>
    </row>
    <row r="19" spans="2:46" x14ac:dyDescent="0.25">
      <c r="B19">
        <v>16</v>
      </c>
      <c r="C19" t="s">
        <v>91</v>
      </c>
      <c r="D19">
        <v>38</v>
      </c>
      <c r="E19">
        <v>68</v>
      </c>
      <c r="F19">
        <v>-30</v>
      </c>
      <c r="G19">
        <v>8</v>
      </c>
      <c r="H19">
        <v>84</v>
      </c>
      <c r="I19">
        <v>0</v>
      </c>
      <c r="J19">
        <v>39.299999999999997</v>
      </c>
      <c r="K19">
        <v>64.2</v>
      </c>
      <c r="L19">
        <v>-1.2999999999999972</v>
      </c>
      <c r="M19">
        <v>362</v>
      </c>
      <c r="N19">
        <v>111</v>
      </c>
      <c r="O19">
        <v>3</v>
      </c>
      <c r="P19">
        <v>7</v>
      </c>
      <c r="Q19">
        <v>36</v>
      </c>
      <c r="R19">
        <v>2</v>
      </c>
      <c r="S19">
        <v>3</v>
      </c>
      <c r="T19">
        <v>67</v>
      </c>
      <c r="U19">
        <v>0</v>
      </c>
      <c r="V19">
        <v>9</v>
      </c>
      <c r="W19">
        <v>112</v>
      </c>
      <c r="X19">
        <v>892</v>
      </c>
      <c r="Y19">
        <v>387</v>
      </c>
      <c r="Z19">
        <v>445</v>
      </c>
      <c r="AA19">
        <v>12091</v>
      </c>
      <c r="AB19">
        <v>31</v>
      </c>
      <c r="AC19">
        <v>1763</v>
      </c>
      <c r="AD19">
        <v>530</v>
      </c>
      <c r="AE19">
        <v>128</v>
      </c>
      <c r="AF19">
        <v>195.25</v>
      </c>
      <c r="AG19">
        <v>5</v>
      </c>
      <c r="AH19">
        <v>41</v>
      </c>
      <c r="AI19">
        <v>26</v>
      </c>
      <c r="AJ19">
        <v>376.25</v>
      </c>
      <c r="AK19">
        <v>50</v>
      </c>
      <c r="AL19" s="4">
        <f t="shared" si="0"/>
        <v>7.5250000000000004</v>
      </c>
      <c r="AM19" s="2">
        <v>29188</v>
      </c>
      <c r="AN19" s="6">
        <v>0.06</v>
      </c>
      <c r="AO19" s="13">
        <v>0</v>
      </c>
      <c r="AP19" s="13">
        <v>1</v>
      </c>
      <c r="AQ19" s="13">
        <v>0</v>
      </c>
      <c r="AR19" s="13">
        <v>0</v>
      </c>
      <c r="AS19" s="13">
        <v>0</v>
      </c>
      <c r="AT19" t="str">
        <f t="shared" si="1"/>
        <v>22/23</v>
      </c>
    </row>
    <row r="20" spans="2:46" x14ac:dyDescent="0.25">
      <c r="B20">
        <v>17</v>
      </c>
      <c r="C20" t="s">
        <v>15</v>
      </c>
      <c r="D20">
        <v>34</v>
      </c>
      <c r="E20">
        <v>57</v>
      </c>
      <c r="F20">
        <v>-23</v>
      </c>
      <c r="G20">
        <v>9</v>
      </c>
      <c r="H20">
        <v>81</v>
      </c>
      <c r="I20">
        <v>2</v>
      </c>
      <c r="J20">
        <v>45.2</v>
      </c>
      <c r="K20">
        <v>65.7</v>
      </c>
      <c r="L20">
        <v>-11.200000000000003</v>
      </c>
      <c r="M20">
        <v>426</v>
      </c>
      <c r="N20">
        <v>143</v>
      </c>
      <c r="O20">
        <v>3</v>
      </c>
      <c r="P20">
        <v>5</v>
      </c>
      <c r="Q20">
        <v>29</v>
      </c>
      <c r="R20">
        <v>6</v>
      </c>
      <c r="S20">
        <v>4</v>
      </c>
      <c r="T20">
        <v>64</v>
      </c>
      <c r="U20">
        <v>0</v>
      </c>
      <c r="V20">
        <v>6</v>
      </c>
      <c r="W20">
        <v>127</v>
      </c>
      <c r="X20">
        <v>829</v>
      </c>
      <c r="Y20">
        <v>424</v>
      </c>
      <c r="Z20">
        <v>396</v>
      </c>
      <c r="AA20">
        <v>14152</v>
      </c>
      <c r="AB20">
        <v>39</v>
      </c>
      <c r="AC20">
        <v>2195</v>
      </c>
      <c r="AD20">
        <v>704</v>
      </c>
      <c r="AE20">
        <v>175</v>
      </c>
      <c r="AF20">
        <v>78.2</v>
      </c>
      <c r="AG20">
        <v>103.6</v>
      </c>
      <c r="AH20">
        <v>15</v>
      </c>
      <c r="AI20">
        <v>18</v>
      </c>
      <c r="AJ20">
        <v>413.15</v>
      </c>
      <c r="AK20">
        <v>40</v>
      </c>
      <c r="AL20" s="4">
        <f t="shared" si="0"/>
        <v>10.328749999999999</v>
      </c>
      <c r="AM20" s="2">
        <v>39243</v>
      </c>
      <c r="AN20" s="6">
        <v>-0.01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t="str">
        <f t="shared" si="1"/>
        <v>22/23</v>
      </c>
    </row>
    <row r="21" spans="2:46" x14ac:dyDescent="0.25">
      <c r="B21">
        <v>18</v>
      </c>
      <c r="C21" t="s">
        <v>7</v>
      </c>
      <c r="D21">
        <v>51</v>
      </c>
      <c r="E21">
        <v>68</v>
      </c>
      <c r="F21">
        <v>-17</v>
      </c>
      <c r="G21">
        <v>7</v>
      </c>
      <c r="H21">
        <v>63</v>
      </c>
      <c r="I21">
        <v>2</v>
      </c>
      <c r="J21">
        <v>50.6</v>
      </c>
      <c r="K21">
        <v>63.4</v>
      </c>
      <c r="L21">
        <v>0.39999999999999858</v>
      </c>
      <c r="M21">
        <v>412</v>
      </c>
      <c r="N21">
        <v>142</v>
      </c>
      <c r="O21">
        <v>3</v>
      </c>
      <c r="P21">
        <v>3</v>
      </c>
      <c r="Q21">
        <v>40</v>
      </c>
      <c r="R21">
        <v>11</v>
      </c>
      <c r="S21">
        <v>4</v>
      </c>
      <c r="T21">
        <v>83</v>
      </c>
      <c r="U21">
        <v>5</v>
      </c>
      <c r="V21">
        <v>5</v>
      </c>
      <c r="W21">
        <v>113</v>
      </c>
      <c r="X21">
        <v>723</v>
      </c>
      <c r="Y21">
        <v>412</v>
      </c>
      <c r="Z21">
        <v>410</v>
      </c>
      <c r="AA21">
        <v>17365</v>
      </c>
      <c r="AB21">
        <v>76</v>
      </c>
      <c r="AC21">
        <v>2552</v>
      </c>
      <c r="AD21">
        <v>496</v>
      </c>
      <c r="AE21">
        <v>135</v>
      </c>
      <c r="AF21">
        <v>48</v>
      </c>
      <c r="AG21">
        <v>81.400000000000006</v>
      </c>
      <c r="AH21">
        <v>10</v>
      </c>
      <c r="AI21">
        <v>9</v>
      </c>
      <c r="AJ21">
        <v>490.8</v>
      </c>
      <c r="AK21">
        <v>38</v>
      </c>
      <c r="AL21" s="4">
        <f t="shared" si="0"/>
        <v>12.91578947368421</v>
      </c>
      <c r="AM21" s="2">
        <v>31887</v>
      </c>
      <c r="AN21" s="6">
        <v>0.06</v>
      </c>
      <c r="AO21" s="13">
        <v>0</v>
      </c>
      <c r="AP21" s="13">
        <v>0</v>
      </c>
      <c r="AQ21" s="13">
        <v>0</v>
      </c>
      <c r="AR21" s="13">
        <v>1</v>
      </c>
      <c r="AS21" s="13">
        <v>0</v>
      </c>
      <c r="AT21" t="str">
        <f t="shared" si="1"/>
        <v>22/23</v>
      </c>
    </row>
    <row r="22" spans="2:46" x14ac:dyDescent="0.25">
      <c r="B22">
        <v>19</v>
      </c>
      <c r="C22" t="s">
        <v>13</v>
      </c>
      <c r="D22">
        <v>48</v>
      </c>
      <c r="E22">
        <v>78</v>
      </c>
      <c r="F22">
        <v>-30</v>
      </c>
      <c r="G22">
        <v>5</v>
      </c>
      <c r="H22">
        <v>89</v>
      </c>
      <c r="I22">
        <v>3</v>
      </c>
      <c r="J22">
        <v>47.4</v>
      </c>
      <c r="K22">
        <v>67.2</v>
      </c>
      <c r="L22">
        <v>0.60000000000000142</v>
      </c>
      <c r="M22">
        <v>459</v>
      </c>
      <c r="N22">
        <v>141</v>
      </c>
      <c r="O22">
        <v>1</v>
      </c>
      <c r="P22">
        <v>9</v>
      </c>
      <c r="Q22">
        <v>41</v>
      </c>
      <c r="R22">
        <v>7</v>
      </c>
      <c r="S22">
        <v>2</v>
      </c>
      <c r="T22">
        <v>60</v>
      </c>
      <c r="U22">
        <v>1</v>
      </c>
      <c r="V22">
        <v>6</v>
      </c>
      <c r="W22">
        <v>108</v>
      </c>
      <c r="X22">
        <v>709</v>
      </c>
      <c r="Y22">
        <v>480</v>
      </c>
      <c r="Z22">
        <v>467</v>
      </c>
      <c r="AA22">
        <v>15160</v>
      </c>
      <c r="AB22">
        <v>41</v>
      </c>
      <c r="AC22">
        <v>2230</v>
      </c>
      <c r="AD22">
        <v>653</v>
      </c>
      <c r="AE22">
        <v>199</v>
      </c>
      <c r="AF22">
        <v>151.38999999999999</v>
      </c>
      <c r="AG22">
        <v>114.5</v>
      </c>
      <c r="AH22">
        <v>26</v>
      </c>
      <c r="AI22">
        <v>20</v>
      </c>
      <c r="AJ22">
        <v>345.15</v>
      </c>
      <c r="AK22">
        <v>47</v>
      </c>
      <c r="AL22" s="4">
        <f t="shared" si="0"/>
        <v>7.3436170212765957</v>
      </c>
      <c r="AM22" s="2">
        <v>36566</v>
      </c>
      <c r="AN22" s="6">
        <v>7.0000000000000007E-2</v>
      </c>
      <c r="AO22" s="13">
        <v>0</v>
      </c>
      <c r="AP22" s="13">
        <v>0</v>
      </c>
      <c r="AQ22" s="13">
        <v>0</v>
      </c>
      <c r="AR22" s="13">
        <v>1</v>
      </c>
      <c r="AS22" s="13">
        <v>0</v>
      </c>
      <c r="AT22" t="str">
        <f t="shared" si="1"/>
        <v>22/23</v>
      </c>
    </row>
    <row r="23" spans="2:46" x14ac:dyDescent="0.25">
      <c r="B23">
        <v>20</v>
      </c>
      <c r="C23" t="s">
        <v>11</v>
      </c>
      <c r="D23">
        <v>36</v>
      </c>
      <c r="E23">
        <v>73</v>
      </c>
      <c r="F23">
        <v>-37</v>
      </c>
      <c r="G23">
        <v>4</v>
      </c>
      <c r="H23">
        <v>73</v>
      </c>
      <c r="I23">
        <v>0</v>
      </c>
      <c r="J23">
        <v>37.700000000000003</v>
      </c>
      <c r="K23">
        <v>61</v>
      </c>
      <c r="L23">
        <v>-1.7000000000000028</v>
      </c>
      <c r="M23">
        <v>413</v>
      </c>
      <c r="N23">
        <v>132</v>
      </c>
      <c r="O23">
        <v>2</v>
      </c>
      <c r="P23">
        <v>6</v>
      </c>
      <c r="Q23">
        <v>28</v>
      </c>
      <c r="R23">
        <v>8</v>
      </c>
      <c r="S23">
        <v>5</v>
      </c>
      <c r="T23">
        <v>57</v>
      </c>
      <c r="U23">
        <v>5</v>
      </c>
      <c r="V23">
        <v>3</v>
      </c>
      <c r="W23">
        <v>81</v>
      </c>
      <c r="X23">
        <v>826</v>
      </c>
      <c r="Y23">
        <v>426</v>
      </c>
      <c r="Z23">
        <v>430</v>
      </c>
      <c r="AA23">
        <v>14796</v>
      </c>
      <c r="AB23">
        <v>38</v>
      </c>
      <c r="AC23">
        <v>2481</v>
      </c>
      <c r="AD23">
        <v>613</v>
      </c>
      <c r="AE23">
        <v>157</v>
      </c>
      <c r="AF23">
        <v>152.11000000000001</v>
      </c>
      <c r="AG23">
        <v>5.5</v>
      </c>
      <c r="AH23">
        <v>21</v>
      </c>
      <c r="AI23">
        <v>14</v>
      </c>
      <c r="AJ23">
        <v>419.95</v>
      </c>
      <c r="AK23">
        <v>46</v>
      </c>
      <c r="AL23" s="4">
        <f t="shared" si="0"/>
        <v>9.1293478260869563</v>
      </c>
      <c r="AM23" s="3">
        <v>30440</v>
      </c>
      <c r="AN23" s="6">
        <v>0.02</v>
      </c>
      <c r="AO23" s="13">
        <v>0</v>
      </c>
      <c r="AP23" s="13">
        <v>0</v>
      </c>
      <c r="AQ23" s="13">
        <v>0</v>
      </c>
      <c r="AR23" s="13">
        <v>1</v>
      </c>
      <c r="AS23" s="13">
        <v>0</v>
      </c>
      <c r="AT23" t="str">
        <f t="shared" si="1"/>
        <v>22/23</v>
      </c>
    </row>
    <row r="26" spans="2:46" x14ac:dyDescent="0.25">
      <c r="B26" t="s">
        <v>48</v>
      </c>
      <c r="C26" s="1" t="s">
        <v>49</v>
      </c>
    </row>
    <row r="27" spans="2:46" x14ac:dyDescent="0.25">
      <c r="C27" s="1" t="s">
        <v>50</v>
      </c>
    </row>
    <row r="28" spans="2:46" x14ac:dyDescent="0.25">
      <c r="C28" s="1" t="s">
        <v>52</v>
      </c>
    </row>
    <row r="29" spans="2:46" x14ac:dyDescent="0.25">
      <c r="C29" s="1" t="s">
        <v>88</v>
      </c>
    </row>
    <row r="30" spans="2:46" x14ac:dyDescent="0.25">
      <c r="C30" s="1" t="s">
        <v>90</v>
      </c>
    </row>
  </sheetData>
  <mergeCells count="5">
    <mergeCell ref="D2:L2"/>
    <mergeCell ref="M2:T2"/>
    <mergeCell ref="U2:Z2"/>
    <mergeCell ref="AA2:AE2"/>
    <mergeCell ref="AF2:AN2"/>
  </mergeCells>
  <hyperlinks>
    <hyperlink ref="C26" r:id="rId1" xr:uid="{493C55FF-4336-4215-9F9B-4C075B4D8FE2}"/>
    <hyperlink ref="C27" r:id="rId2" xr:uid="{C1FF9264-6704-4F26-AE2A-F6EF0255C53F}"/>
    <hyperlink ref="C28" r:id="rId3" xr:uid="{18E5F01A-F592-4A3F-8D37-FE3018CB8EFD}"/>
    <hyperlink ref="C29" r:id="rId4" xr:uid="{B9464590-7787-4053-862D-428EFE9023EC}"/>
    <hyperlink ref="C30" r:id="rId5" xr:uid="{D94D4C7D-1D62-44C0-A904-9A8E9B11299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1DC6-76E2-406A-BEEF-557A1B017003}">
  <dimension ref="A1:AT147"/>
  <sheetViews>
    <sheetView topLeftCell="A23" workbookViewId="0">
      <pane xSplit="2" ySplit="4" topLeftCell="AI27" activePane="bottomRight" state="frozen"/>
      <selection activeCell="A23" sqref="A23"/>
      <selection pane="topRight" activeCell="C23" sqref="C23"/>
      <selection pane="bottomLeft" activeCell="A27" sqref="A27"/>
      <selection pane="bottomRight" activeCell="AT28" sqref="AT28:AT46"/>
    </sheetView>
  </sheetViews>
  <sheetFormatPr baseColWidth="10" defaultRowHeight="15.75" x14ac:dyDescent="0.25"/>
  <cols>
    <col min="2" max="2" width="23.375" bestFit="1" customWidth="1"/>
    <col min="14" max="14" width="12.625" customWidth="1"/>
    <col min="15" max="15" width="13.75" customWidth="1"/>
    <col min="16" max="16" width="12.875" customWidth="1"/>
    <col min="17" max="17" width="11.625" customWidth="1"/>
    <col min="18" max="18" width="16.125" customWidth="1"/>
    <col min="19" max="19" width="15.25" customWidth="1"/>
    <col min="20" max="20" width="11.375" customWidth="1"/>
    <col min="21" max="21" width="19.25" customWidth="1"/>
    <col min="26" max="26" width="16.625" customWidth="1"/>
    <col min="27" max="27" width="14.75" customWidth="1"/>
    <col min="28" max="28" width="16.5" customWidth="1"/>
    <col min="31" max="31" width="44.125" customWidth="1"/>
    <col min="32" max="32" width="46.375" customWidth="1"/>
    <col min="33" max="33" width="17.625" customWidth="1"/>
    <col min="34" max="34" width="19.125" customWidth="1"/>
    <col min="35" max="35" width="14.25" customWidth="1"/>
    <col min="36" max="36" width="20.5" customWidth="1"/>
    <col min="37" max="37" width="24.125" customWidth="1"/>
    <col min="38" max="38" width="27.625" customWidth="1"/>
    <col min="39" max="39" width="13.625" customWidth="1"/>
    <col min="40" max="40" width="22.5" customWidth="1"/>
    <col min="41" max="41" width="17.25" customWidth="1"/>
    <col min="42" max="42" width="12.125" customWidth="1"/>
    <col min="45" max="45" width="12.5" customWidth="1"/>
  </cols>
  <sheetData>
    <row r="1" spans="1:19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19" ht="16.5" thickBot="1" x14ac:dyDescent="0.3">
      <c r="A2" s="22">
        <v>1</v>
      </c>
      <c r="B2" s="17" t="s">
        <v>154</v>
      </c>
      <c r="C2" s="10">
        <v>38</v>
      </c>
      <c r="D2" s="10">
        <v>28</v>
      </c>
      <c r="E2" s="10">
        <v>7</v>
      </c>
      <c r="F2" s="10">
        <v>3</v>
      </c>
      <c r="G2" s="10">
        <v>96</v>
      </c>
      <c r="H2" s="10">
        <v>34</v>
      </c>
      <c r="I2" s="10">
        <v>62</v>
      </c>
      <c r="J2" s="10">
        <v>91</v>
      </c>
      <c r="K2" s="10">
        <v>2.39</v>
      </c>
      <c r="L2" s="10">
        <v>80.5</v>
      </c>
      <c r="M2" s="10">
        <v>35.6</v>
      </c>
      <c r="N2" s="10">
        <v>44.9</v>
      </c>
      <c r="O2" s="10">
        <v>1.18</v>
      </c>
      <c r="P2" s="2">
        <v>53012</v>
      </c>
      <c r="Q2" s="19" t="s">
        <v>155</v>
      </c>
      <c r="R2" s="19" t="s">
        <v>156</v>
      </c>
      <c r="S2" s="23" t="s">
        <v>157</v>
      </c>
    </row>
    <row r="3" spans="1:19" ht="16.5" thickBot="1" x14ac:dyDescent="0.3">
      <c r="A3" s="22">
        <v>2</v>
      </c>
      <c r="B3" s="17" t="s">
        <v>158</v>
      </c>
      <c r="C3" s="10">
        <v>38</v>
      </c>
      <c r="D3" s="10">
        <v>28</v>
      </c>
      <c r="E3" s="10">
        <v>5</v>
      </c>
      <c r="F3" s="10">
        <v>5</v>
      </c>
      <c r="G3" s="10">
        <v>91</v>
      </c>
      <c r="H3" s="10">
        <v>29</v>
      </c>
      <c r="I3" s="10">
        <v>62</v>
      </c>
      <c r="J3" s="10">
        <v>89</v>
      </c>
      <c r="K3" s="10">
        <v>2.34</v>
      </c>
      <c r="L3" s="10">
        <v>76.099999999999994</v>
      </c>
      <c r="M3" s="10">
        <v>27.9</v>
      </c>
      <c r="N3" s="10">
        <v>48.2</v>
      </c>
      <c r="O3" s="10">
        <v>1.27</v>
      </c>
      <c r="P3" s="2">
        <v>60236</v>
      </c>
      <c r="Q3" s="19" t="s">
        <v>159</v>
      </c>
      <c r="R3" s="19" t="s">
        <v>160</v>
      </c>
      <c r="S3" s="23" t="s">
        <v>157</v>
      </c>
    </row>
    <row r="4" spans="1:19" ht="16.5" thickBot="1" x14ac:dyDescent="0.3">
      <c r="A4" s="22">
        <v>3</v>
      </c>
      <c r="B4" s="17" t="s">
        <v>161</v>
      </c>
      <c r="C4" s="10">
        <v>38</v>
      </c>
      <c r="D4" s="10">
        <v>24</v>
      </c>
      <c r="E4" s="10">
        <v>10</v>
      </c>
      <c r="F4" s="10">
        <v>4</v>
      </c>
      <c r="G4" s="10">
        <v>86</v>
      </c>
      <c r="H4" s="10">
        <v>41</v>
      </c>
      <c r="I4" s="10">
        <v>45</v>
      </c>
      <c r="J4" s="10">
        <v>82</v>
      </c>
      <c r="K4" s="10">
        <v>2.16</v>
      </c>
      <c r="L4" s="10">
        <v>87.8</v>
      </c>
      <c r="M4" s="10">
        <v>45.7</v>
      </c>
      <c r="N4" s="10">
        <v>42</v>
      </c>
      <c r="O4" s="10">
        <v>1.1100000000000001</v>
      </c>
      <c r="P4" s="2">
        <v>55979</v>
      </c>
      <c r="Q4" s="19" t="s">
        <v>162</v>
      </c>
      <c r="R4" s="19" t="s">
        <v>163</v>
      </c>
      <c r="S4" s="23" t="s">
        <v>157</v>
      </c>
    </row>
    <row r="5" spans="1:19" ht="16.5" thickBot="1" x14ac:dyDescent="0.3">
      <c r="A5" s="22">
        <v>4</v>
      </c>
      <c r="B5" s="17" t="s">
        <v>164</v>
      </c>
      <c r="C5" s="10">
        <v>38</v>
      </c>
      <c r="D5" s="10">
        <v>20</v>
      </c>
      <c r="E5" s="10">
        <v>8</v>
      </c>
      <c r="F5" s="10">
        <v>10</v>
      </c>
      <c r="G5" s="10">
        <v>76</v>
      </c>
      <c r="H5" s="10">
        <v>61</v>
      </c>
      <c r="I5" s="10">
        <v>15</v>
      </c>
      <c r="J5" s="10">
        <v>68</v>
      </c>
      <c r="K5" s="10">
        <v>1.79</v>
      </c>
      <c r="L5" s="10">
        <v>63.3</v>
      </c>
      <c r="M5" s="10">
        <v>59.9</v>
      </c>
      <c r="N5" s="10">
        <v>3.4</v>
      </c>
      <c r="O5" s="10">
        <v>0.09</v>
      </c>
      <c r="P5" s="2">
        <v>41858</v>
      </c>
      <c r="Q5" s="19" t="s">
        <v>165</v>
      </c>
      <c r="R5" s="19" t="s">
        <v>166</v>
      </c>
      <c r="S5" s="23" t="s">
        <v>157</v>
      </c>
    </row>
    <row r="6" spans="1:19" ht="16.5" thickBot="1" x14ac:dyDescent="0.3">
      <c r="A6" s="22">
        <v>5</v>
      </c>
      <c r="B6" s="17" t="s">
        <v>167</v>
      </c>
      <c r="C6" s="10">
        <v>38</v>
      </c>
      <c r="D6" s="10">
        <v>20</v>
      </c>
      <c r="E6" s="10">
        <v>6</v>
      </c>
      <c r="F6" s="10">
        <v>12</v>
      </c>
      <c r="G6" s="10">
        <v>74</v>
      </c>
      <c r="H6" s="10">
        <v>61</v>
      </c>
      <c r="I6" s="10">
        <v>13</v>
      </c>
      <c r="J6" s="10">
        <v>66</v>
      </c>
      <c r="K6" s="10">
        <v>1.74</v>
      </c>
      <c r="L6" s="10">
        <v>68.2</v>
      </c>
      <c r="M6" s="10">
        <v>63.4</v>
      </c>
      <c r="N6" s="10">
        <v>4.8</v>
      </c>
      <c r="O6" s="10">
        <v>0.13</v>
      </c>
      <c r="P6" s="2">
        <v>61482</v>
      </c>
      <c r="Q6" s="19" t="s">
        <v>168</v>
      </c>
      <c r="R6" s="19" t="s">
        <v>169</v>
      </c>
      <c r="S6" s="23" t="s">
        <v>170</v>
      </c>
    </row>
    <row r="7" spans="1:19" ht="16.5" thickBot="1" x14ac:dyDescent="0.3">
      <c r="A7" s="22">
        <v>6</v>
      </c>
      <c r="B7" s="17" t="s">
        <v>171</v>
      </c>
      <c r="C7" s="10">
        <v>38</v>
      </c>
      <c r="D7" s="10">
        <v>18</v>
      </c>
      <c r="E7" s="10">
        <v>9</v>
      </c>
      <c r="F7" s="10">
        <v>11</v>
      </c>
      <c r="G7" s="10">
        <v>77</v>
      </c>
      <c r="H7" s="10">
        <v>63</v>
      </c>
      <c r="I7" s="10">
        <v>14</v>
      </c>
      <c r="J7" s="10">
        <v>63</v>
      </c>
      <c r="K7" s="10">
        <v>1.66</v>
      </c>
      <c r="L7" s="10">
        <v>74.5</v>
      </c>
      <c r="M7" s="10">
        <v>58.1</v>
      </c>
      <c r="N7" s="10">
        <v>16.399999999999999</v>
      </c>
      <c r="O7" s="10">
        <v>0.43</v>
      </c>
      <c r="P7" s="2">
        <v>39524</v>
      </c>
      <c r="Q7" s="19" t="s">
        <v>172</v>
      </c>
      <c r="R7" s="19" t="s">
        <v>173</v>
      </c>
      <c r="S7" s="23" t="s">
        <v>174</v>
      </c>
    </row>
    <row r="8" spans="1:19" ht="16.5" thickBot="1" x14ac:dyDescent="0.3">
      <c r="A8" s="22">
        <v>7</v>
      </c>
      <c r="B8" s="17" t="s">
        <v>175</v>
      </c>
      <c r="C8" s="10">
        <v>38</v>
      </c>
      <c r="D8" s="10">
        <v>18</v>
      </c>
      <c r="E8" s="10">
        <v>6</v>
      </c>
      <c r="F8" s="10">
        <v>14</v>
      </c>
      <c r="G8" s="10">
        <v>85</v>
      </c>
      <c r="H8" s="10">
        <v>62</v>
      </c>
      <c r="I8" s="10">
        <v>23</v>
      </c>
      <c r="J8" s="10">
        <v>60</v>
      </c>
      <c r="K8" s="10">
        <v>1.58</v>
      </c>
      <c r="L8" s="10">
        <v>76</v>
      </c>
      <c r="M8" s="10">
        <v>61.4</v>
      </c>
      <c r="N8" s="10">
        <v>14.6</v>
      </c>
      <c r="O8" s="10">
        <v>0.38</v>
      </c>
      <c r="P8" s="2">
        <v>52125</v>
      </c>
      <c r="Q8" s="19" t="s">
        <v>176</v>
      </c>
      <c r="R8" s="19" t="s">
        <v>177</v>
      </c>
      <c r="S8" s="23"/>
    </row>
    <row r="9" spans="1:19" ht="16.5" thickBot="1" x14ac:dyDescent="0.3">
      <c r="A9" s="22">
        <v>8</v>
      </c>
      <c r="B9" s="17" t="s">
        <v>178</v>
      </c>
      <c r="C9" s="10">
        <v>38</v>
      </c>
      <c r="D9" s="10">
        <v>18</v>
      </c>
      <c r="E9" s="10">
        <v>6</v>
      </c>
      <c r="F9" s="10">
        <v>14</v>
      </c>
      <c r="G9" s="10">
        <v>57</v>
      </c>
      <c r="H9" s="10">
        <v>58</v>
      </c>
      <c r="I9" s="10">
        <v>-1</v>
      </c>
      <c r="J9" s="10">
        <v>60</v>
      </c>
      <c r="K9" s="10">
        <v>1.58</v>
      </c>
      <c r="L9" s="10">
        <v>56.5</v>
      </c>
      <c r="M9" s="10">
        <v>68.900000000000006</v>
      </c>
      <c r="N9" s="10">
        <v>-12.5</v>
      </c>
      <c r="O9" s="10">
        <v>-0.33</v>
      </c>
      <c r="P9" s="2">
        <v>73533</v>
      </c>
      <c r="Q9" s="18" t="s">
        <v>179</v>
      </c>
      <c r="R9" s="19" t="s">
        <v>180</v>
      </c>
      <c r="S9" s="23" t="s">
        <v>181</v>
      </c>
    </row>
    <row r="10" spans="1:19" ht="16.5" thickBot="1" x14ac:dyDescent="0.3">
      <c r="A10" s="22">
        <v>9</v>
      </c>
      <c r="B10" s="17" t="s">
        <v>182</v>
      </c>
      <c r="C10" s="10">
        <v>38</v>
      </c>
      <c r="D10" s="10">
        <v>14</v>
      </c>
      <c r="E10" s="10">
        <v>10</v>
      </c>
      <c r="F10" s="10">
        <v>14</v>
      </c>
      <c r="G10" s="10">
        <v>60</v>
      </c>
      <c r="H10" s="10">
        <v>74</v>
      </c>
      <c r="I10" s="10">
        <v>-14</v>
      </c>
      <c r="J10" s="10">
        <v>52</v>
      </c>
      <c r="K10" s="10">
        <v>1.37</v>
      </c>
      <c r="L10" s="10">
        <v>52.3</v>
      </c>
      <c r="M10" s="10">
        <v>71.099999999999994</v>
      </c>
      <c r="N10" s="10">
        <v>-18.8</v>
      </c>
      <c r="O10" s="10">
        <v>-0.49</v>
      </c>
      <c r="P10" s="2">
        <v>62567</v>
      </c>
      <c r="Q10" s="19" t="s">
        <v>183</v>
      </c>
      <c r="R10" s="19" t="s">
        <v>184</v>
      </c>
      <c r="S10" s="23"/>
    </row>
    <row r="11" spans="1:19" ht="16.5" thickBot="1" x14ac:dyDescent="0.3">
      <c r="A11" s="22">
        <v>10</v>
      </c>
      <c r="B11" s="17" t="s">
        <v>185</v>
      </c>
      <c r="C11" s="10">
        <v>38</v>
      </c>
      <c r="D11" s="10">
        <v>13</v>
      </c>
      <c r="E11" s="10">
        <v>10</v>
      </c>
      <c r="F11" s="10">
        <v>15</v>
      </c>
      <c r="G11" s="10">
        <v>57</v>
      </c>
      <c r="H11" s="10">
        <v>58</v>
      </c>
      <c r="I11" s="10">
        <v>-1</v>
      </c>
      <c r="J11" s="10">
        <v>49</v>
      </c>
      <c r="K11" s="10">
        <v>1.29</v>
      </c>
      <c r="L11" s="10">
        <v>48.6</v>
      </c>
      <c r="M11" s="10">
        <v>52</v>
      </c>
      <c r="N11" s="10">
        <v>-3.4</v>
      </c>
      <c r="O11" s="10">
        <v>-0.09</v>
      </c>
      <c r="P11" s="2">
        <v>24932</v>
      </c>
      <c r="Q11" s="19" t="s">
        <v>186</v>
      </c>
      <c r="R11" s="19" t="s">
        <v>187</v>
      </c>
      <c r="S11" s="23"/>
    </row>
    <row r="12" spans="1:19" ht="16.5" thickBot="1" x14ac:dyDescent="0.3">
      <c r="A12" s="22">
        <v>11</v>
      </c>
      <c r="B12" s="17" t="s">
        <v>188</v>
      </c>
      <c r="C12" s="10">
        <v>38</v>
      </c>
      <c r="D12" s="10">
        <v>12</v>
      </c>
      <c r="E12" s="10">
        <v>12</v>
      </c>
      <c r="F12" s="10">
        <v>14</v>
      </c>
      <c r="G12" s="10">
        <v>55</v>
      </c>
      <c r="H12" s="10">
        <v>62</v>
      </c>
      <c r="I12" s="10">
        <v>-7</v>
      </c>
      <c r="J12" s="10">
        <v>48</v>
      </c>
      <c r="K12" s="10">
        <v>1.26</v>
      </c>
      <c r="L12" s="10">
        <v>56.8</v>
      </c>
      <c r="M12" s="10">
        <v>55.4</v>
      </c>
      <c r="N12" s="10">
        <v>1.4</v>
      </c>
      <c r="O12" s="10">
        <v>0.04</v>
      </c>
      <c r="P12" s="2">
        <v>32638</v>
      </c>
      <c r="Q12" s="19" t="s">
        <v>189</v>
      </c>
      <c r="R12" s="19" t="s">
        <v>190</v>
      </c>
      <c r="S12" s="23"/>
    </row>
    <row r="13" spans="1:19" ht="16.5" thickBot="1" x14ac:dyDescent="0.3">
      <c r="A13" s="22">
        <v>12</v>
      </c>
      <c r="B13" s="17" t="s">
        <v>191</v>
      </c>
      <c r="C13" s="10">
        <v>38</v>
      </c>
      <c r="D13" s="10">
        <v>13</v>
      </c>
      <c r="E13" s="10">
        <v>9</v>
      </c>
      <c r="F13" s="10">
        <v>16</v>
      </c>
      <c r="G13" s="10">
        <v>54</v>
      </c>
      <c r="H13" s="10">
        <v>67</v>
      </c>
      <c r="I13" s="10">
        <v>-13</v>
      </c>
      <c r="J13" s="10">
        <v>48</v>
      </c>
      <c r="K13" s="10">
        <v>1.26</v>
      </c>
      <c r="L13" s="10">
        <v>55.9</v>
      </c>
      <c r="M13" s="10">
        <v>58.1</v>
      </c>
      <c r="N13" s="10">
        <v>-2.2000000000000002</v>
      </c>
      <c r="O13" s="10">
        <v>-0.06</v>
      </c>
      <c r="P13" s="2">
        <v>11103</v>
      </c>
      <c r="Q13" s="19" t="s">
        <v>192</v>
      </c>
      <c r="R13" s="19" t="s">
        <v>193</v>
      </c>
      <c r="S13" s="23"/>
    </row>
    <row r="14" spans="1:19" ht="16.5" thickBot="1" x14ac:dyDescent="0.3">
      <c r="A14" s="22">
        <v>13</v>
      </c>
      <c r="B14" s="17" t="s">
        <v>194</v>
      </c>
      <c r="C14" s="10">
        <v>38</v>
      </c>
      <c r="D14" s="10">
        <v>13</v>
      </c>
      <c r="E14" s="10">
        <v>8</v>
      </c>
      <c r="F14" s="10">
        <v>17</v>
      </c>
      <c r="G14" s="10">
        <v>55</v>
      </c>
      <c r="H14" s="10">
        <v>61</v>
      </c>
      <c r="I14" s="10">
        <v>-6</v>
      </c>
      <c r="J14" s="10">
        <v>47</v>
      </c>
      <c r="K14" s="10">
        <v>1.24</v>
      </c>
      <c r="L14" s="10">
        <v>50.8</v>
      </c>
      <c r="M14" s="10">
        <v>62.9</v>
      </c>
      <c r="N14" s="10">
        <v>-12.1</v>
      </c>
      <c r="O14" s="10">
        <v>-0.32</v>
      </c>
      <c r="P14" s="2">
        <v>24302</v>
      </c>
      <c r="Q14" s="19" t="s">
        <v>195</v>
      </c>
      <c r="R14" s="19" t="s">
        <v>196</v>
      </c>
      <c r="S14" s="23"/>
    </row>
    <row r="15" spans="1:19" ht="16.5" thickBot="1" x14ac:dyDescent="0.3">
      <c r="A15" s="22">
        <v>14</v>
      </c>
      <c r="B15" s="17" t="s">
        <v>197</v>
      </c>
      <c r="C15" s="10">
        <v>38</v>
      </c>
      <c r="D15" s="10">
        <v>13</v>
      </c>
      <c r="E15" s="10">
        <v>7</v>
      </c>
      <c r="F15" s="10">
        <v>18</v>
      </c>
      <c r="G15" s="10">
        <v>50</v>
      </c>
      <c r="H15" s="10">
        <v>65</v>
      </c>
      <c r="I15" s="10">
        <v>-15</v>
      </c>
      <c r="J15" s="10">
        <v>46</v>
      </c>
      <c r="K15" s="10">
        <v>1.21</v>
      </c>
      <c r="L15" s="10">
        <v>46.7</v>
      </c>
      <c r="M15" s="10">
        <v>67.7</v>
      </c>
      <c r="N15" s="10">
        <v>-21</v>
      </c>
      <c r="O15" s="10">
        <v>-0.55000000000000004</v>
      </c>
      <c r="P15" s="2">
        <v>31029</v>
      </c>
      <c r="Q15" s="18" t="s">
        <v>198</v>
      </c>
      <c r="R15" s="19" t="s">
        <v>199</v>
      </c>
      <c r="S15" s="23"/>
    </row>
    <row r="16" spans="1:19" ht="16.5" thickBot="1" x14ac:dyDescent="0.3">
      <c r="A16" s="22">
        <v>15</v>
      </c>
      <c r="B16" s="17" t="s">
        <v>200</v>
      </c>
      <c r="C16" s="10">
        <v>38</v>
      </c>
      <c r="D16" s="10">
        <v>13</v>
      </c>
      <c r="E16" s="10">
        <v>9</v>
      </c>
      <c r="F16" s="10">
        <v>16</v>
      </c>
      <c r="G16" s="10">
        <v>40</v>
      </c>
      <c r="H16" s="10">
        <v>51</v>
      </c>
      <c r="I16" s="10">
        <v>-11</v>
      </c>
      <c r="J16" s="10">
        <v>42</v>
      </c>
      <c r="K16" s="10">
        <v>1.1100000000000001</v>
      </c>
      <c r="L16" s="10">
        <v>54</v>
      </c>
      <c r="M16" s="10">
        <v>55.2</v>
      </c>
      <c r="N16" s="10">
        <v>-1.2</v>
      </c>
      <c r="O16" s="10">
        <v>-0.03</v>
      </c>
      <c r="P16" s="2">
        <v>39042</v>
      </c>
      <c r="Q16" s="18" t="s">
        <v>201</v>
      </c>
      <c r="R16" s="19" t="s">
        <v>202</v>
      </c>
      <c r="S16" s="23" t="s">
        <v>203</v>
      </c>
    </row>
    <row r="17" spans="1:46" ht="16.5" thickBot="1" x14ac:dyDescent="0.3">
      <c r="A17" s="22">
        <v>16</v>
      </c>
      <c r="B17" s="17" t="s">
        <v>204</v>
      </c>
      <c r="C17" s="10">
        <v>38</v>
      </c>
      <c r="D17" s="10">
        <v>10</v>
      </c>
      <c r="E17" s="10">
        <v>9</v>
      </c>
      <c r="F17" s="10">
        <v>19</v>
      </c>
      <c r="G17" s="10">
        <v>56</v>
      </c>
      <c r="H17" s="10">
        <v>65</v>
      </c>
      <c r="I17" s="10">
        <v>-9</v>
      </c>
      <c r="J17" s="10">
        <v>39</v>
      </c>
      <c r="K17" s="10">
        <v>1.03</v>
      </c>
      <c r="L17" s="10">
        <v>58.2</v>
      </c>
      <c r="M17" s="10">
        <v>56</v>
      </c>
      <c r="N17" s="10">
        <v>2.2000000000000002</v>
      </c>
      <c r="O17" s="10">
        <v>0.06</v>
      </c>
      <c r="P17" s="2">
        <v>17082</v>
      </c>
      <c r="Q17" s="19" t="s">
        <v>205</v>
      </c>
      <c r="R17" s="19" t="s">
        <v>206</v>
      </c>
      <c r="S17" s="23"/>
    </row>
    <row r="18" spans="1:46" ht="16.5" thickBot="1" x14ac:dyDescent="0.3">
      <c r="A18" s="22">
        <v>17</v>
      </c>
      <c r="B18" s="17" t="s">
        <v>207</v>
      </c>
      <c r="C18" s="10">
        <v>38</v>
      </c>
      <c r="D18" s="10">
        <v>9</v>
      </c>
      <c r="E18" s="10">
        <v>9</v>
      </c>
      <c r="F18" s="10">
        <v>20</v>
      </c>
      <c r="G18" s="10">
        <v>49</v>
      </c>
      <c r="H18" s="10">
        <v>67</v>
      </c>
      <c r="I18" s="10">
        <v>-18</v>
      </c>
      <c r="J18" s="10">
        <v>32</v>
      </c>
      <c r="K18" s="10">
        <v>0.84</v>
      </c>
      <c r="L18" s="10">
        <v>49.9</v>
      </c>
      <c r="M18" s="10">
        <v>53.2</v>
      </c>
      <c r="N18" s="10">
        <v>-3.3</v>
      </c>
      <c r="O18" s="10">
        <v>-0.09</v>
      </c>
      <c r="P18" s="2">
        <v>29386</v>
      </c>
      <c r="Q18" s="19" t="s">
        <v>208</v>
      </c>
      <c r="R18" s="19" t="s">
        <v>209</v>
      </c>
      <c r="S18" s="23" t="s">
        <v>210</v>
      </c>
    </row>
    <row r="19" spans="1:46" ht="16.5" thickBot="1" x14ac:dyDescent="0.3">
      <c r="A19" s="24">
        <v>18</v>
      </c>
      <c r="B19" s="17" t="s">
        <v>211</v>
      </c>
      <c r="C19" s="10">
        <v>38</v>
      </c>
      <c r="D19" s="10">
        <v>6</v>
      </c>
      <c r="E19" s="10">
        <v>8</v>
      </c>
      <c r="F19" s="10">
        <v>24</v>
      </c>
      <c r="G19" s="10">
        <v>52</v>
      </c>
      <c r="H19" s="10">
        <v>85</v>
      </c>
      <c r="I19" s="10">
        <v>-33</v>
      </c>
      <c r="J19" s="10">
        <v>26</v>
      </c>
      <c r="K19" s="10">
        <v>0.68</v>
      </c>
      <c r="L19" s="10">
        <v>42.4</v>
      </c>
      <c r="M19" s="10">
        <v>78</v>
      </c>
      <c r="N19" s="10">
        <v>-35.5</v>
      </c>
      <c r="O19" s="10">
        <v>-0.94</v>
      </c>
      <c r="P19" s="2">
        <v>11240</v>
      </c>
      <c r="Q19" s="19" t="s">
        <v>212</v>
      </c>
      <c r="R19" s="19" t="s">
        <v>213</v>
      </c>
      <c r="S19" s="23" t="s">
        <v>214</v>
      </c>
    </row>
    <row r="20" spans="1:46" ht="16.5" thickBot="1" x14ac:dyDescent="0.3">
      <c r="A20" s="24">
        <v>19</v>
      </c>
      <c r="B20" s="17" t="s">
        <v>215</v>
      </c>
      <c r="C20" s="10">
        <v>38</v>
      </c>
      <c r="D20" s="10">
        <v>5</v>
      </c>
      <c r="E20" s="10">
        <v>9</v>
      </c>
      <c r="F20" s="10">
        <v>24</v>
      </c>
      <c r="G20" s="10">
        <v>41</v>
      </c>
      <c r="H20" s="10">
        <v>78</v>
      </c>
      <c r="I20" s="10">
        <v>-37</v>
      </c>
      <c r="J20" s="10">
        <v>24</v>
      </c>
      <c r="K20" s="10">
        <v>0.63</v>
      </c>
      <c r="L20" s="10">
        <v>40.6</v>
      </c>
      <c r="M20" s="10">
        <v>70.400000000000006</v>
      </c>
      <c r="N20" s="10">
        <v>-29.7</v>
      </c>
      <c r="O20" s="10">
        <v>-0.78</v>
      </c>
      <c r="P20" s="2">
        <v>21184</v>
      </c>
      <c r="Q20" s="19" t="s">
        <v>216</v>
      </c>
      <c r="R20" s="19" t="s">
        <v>217</v>
      </c>
      <c r="S20" s="23" t="s">
        <v>214</v>
      </c>
    </row>
    <row r="21" spans="1:46" x14ac:dyDescent="0.25">
      <c r="A21" s="25">
        <v>20</v>
      </c>
      <c r="B21" s="26" t="s">
        <v>218</v>
      </c>
      <c r="C21" s="14">
        <v>38</v>
      </c>
      <c r="D21" s="14">
        <v>3</v>
      </c>
      <c r="E21" s="14">
        <v>7</v>
      </c>
      <c r="F21" s="14">
        <v>28</v>
      </c>
      <c r="G21" s="14">
        <v>35</v>
      </c>
      <c r="H21" s="14">
        <v>104</v>
      </c>
      <c r="I21" s="14">
        <v>-69</v>
      </c>
      <c r="J21" s="14">
        <v>16</v>
      </c>
      <c r="K21" s="14">
        <v>0.42</v>
      </c>
      <c r="L21" s="14">
        <v>38.299999999999997</v>
      </c>
      <c r="M21" s="14">
        <v>76.7</v>
      </c>
      <c r="N21" s="14">
        <v>-38.4</v>
      </c>
      <c r="O21" s="14">
        <v>-1.01</v>
      </c>
      <c r="P21" s="27">
        <v>30011</v>
      </c>
      <c r="Q21" s="16"/>
      <c r="R21" s="16"/>
      <c r="S21" s="28"/>
    </row>
    <row r="26" spans="1:46" x14ac:dyDescent="0.25">
      <c r="A26" s="71" t="s">
        <v>107</v>
      </c>
      <c r="B26" s="72" t="s">
        <v>24</v>
      </c>
      <c r="C26" s="72" t="s">
        <v>108</v>
      </c>
      <c r="D26" s="72" t="s">
        <v>109</v>
      </c>
      <c r="E26" s="72" t="s">
        <v>110</v>
      </c>
      <c r="F26" s="72" t="s">
        <v>111</v>
      </c>
      <c r="G26" s="72" t="s">
        <v>112</v>
      </c>
      <c r="H26" s="72" t="s">
        <v>113</v>
      </c>
      <c r="I26" s="72" t="s">
        <v>114</v>
      </c>
      <c r="J26" s="72" t="s">
        <v>115</v>
      </c>
      <c r="K26" s="72" t="s">
        <v>116</v>
      </c>
      <c r="L26" s="72" t="s">
        <v>55</v>
      </c>
      <c r="M26" s="72" t="s">
        <v>117</v>
      </c>
      <c r="N26" s="72" t="s">
        <v>118</v>
      </c>
      <c r="O26" s="72" t="s">
        <v>119</v>
      </c>
      <c r="P26" s="72" t="s">
        <v>120</v>
      </c>
      <c r="Q26" s="72" t="s">
        <v>121</v>
      </c>
      <c r="R26" s="72" t="s">
        <v>122</v>
      </c>
      <c r="S26" s="72" t="s">
        <v>123</v>
      </c>
      <c r="T26" s="72" t="s">
        <v>61</v>
      </c>
      <c r="U26" s="72" t="s">
        <v>124</v>
      </c>
      <c r="V26" s="72" t="s">
        <v>64</v>
      </c>
      <c r="W26" s="72" t="s">
        <v>65</v>
      </c>
      <c r="X26" s="72" t="s">
        <v>66</v>
      </c>
      <c r="Y26" s="72" t="s">
        <v>67</v>
      </c>
      <c r="Z26" s="72" t="s">
        <v>125</v>
      </c>
      <c r="AA26" s="72" t="s">
        <v>126</v>
      </c>
      <c r="AB26" s="72" t="s">
        <v>127</v>
      </c>
      <c r="AC26" s="72" t="s">
        <v>71</v>
      </c>
      <c r="AD26" s="72" t="s">
        <v>72</v>
      </c>
      <c r="AE26" s="72" t="s">
        <v>147</v>
      </c>
      <c r="AF26" s="72" t="s">
        <v>148</v>
      </c>
      <c r="AG26" s="72" t="s">
        <v>128</v>
      </c>
      <c r="AH26" s="72" t="s">
        <v>129</v>
      </c>
      <c r="AI26" s="72" t="s">
        <v>130</v>
      </c>
      <c r="AJ26" s="72" t="s">
        <v>131</v>
      </c>
      <c r="AK26" s="72" t="s">
        <v>132</v>
      </c>
      <c r="AL26" s="72" t="s">
        <v>133</v>
      </c>
      <c r="AM26" s="72" t="s">
        <v>134</v>
      </c>
      <c r="AN26" s="72" t="s">
        <v>135</v>
      </c>
      <c r="AO26" s="72" t="s">
        <v>136</v>
      </c>
      <c r="AP26" s="72" t="s">
        <v>104</v>
      </c>
      <c r="AQ26" s="72" t="s">
        <v>105</v>
      </c>
      <c r="AR26" s="72" t="s">
        <v>137</v>
      </c>
      <c r="AS26" s="72" t="s">
        <v>92</v>
      </c>
      <c r="AT26" s="73" t="s">
        <v>138</v>
      </c>
    </row>
    <row r="27" spans="1:46" x14ac:dyDescent="0.25">
      <c r="A27" s="74">
        <v>2</v>
      </c>
      <c r="B27" s="75" t="s">
        <v>6</v>
      </c>
      <c r="C27" s="75">
        <v>91</v>
      </c>
      <c r="D27" s="75">
        <v>29</v>
      </c>
      <c r="E27" s="75">
        <f t="shared" ref="E27:E46" si="0">C27-D27</f>
        <v>62</v>
      </c>
      <c r="F27" s="75">
        <v>18</v>
      </c>
      <c r="G27" s="76">
        <v>64</v>
      </c>
      <c r="H27" s="76">
        <v>2</v>
      </c>
      <c r="I27" s="76">
        <v>76.099999999999994</v>
      </c>
      <c r="J27" s="76">
        <v>27.9</v>
      </c>
      <c r="K27" s="75">
        <f t="shared" ref="K27:K46" si="1">C27-I27</f>
        <v>14.900000000000006</v>
      </c>
      <c r="L27" s="76">
        <v>647</v>
      </c>
      <c r="M27" s="76">
        <v>209</v>
      </c>
      <c r="N27" s="75">
        <v>10</v>
      </c>
      <c r="O27" s="75">
        <v>17</v>
      </c>
      <c r="P27" s="75">
        <v>85</v>
      </c>
      <c r="Q27" s="75">
        <f>'2023-2024'!$C27-'2023-2024'!$P27</f>
        <v>6</v>
      </c>
      <c r="R27" s="75">
        <v>7</v>
      </c>
      <c r="S27" s="76">
        <v>87</v>
      </c>
      <c r="T27" s="76">
        <v>1</v>
      </c>
      <c r="U27" s="76">
        <v>9</v>
      </c>
      <c r="V27" s="75">
        <v>54</v>
      </c>
      <c r="W27" s="76">
        <v>515</v>
      </c>
      <c r="X27" s="77">
        <v>610</v>
      </c>
      <c r="Y27" s="76">
        <v>391</v>
      </c>
      <c r="Z27" s="76">
        <v>22558</v>
      </c>
      <c r="AA27" s="76">
        <v>104</v>
      </c>
      <c r="AB27" s="75">
        <v>3354</v>
      </c>
      <c r="AC27" s="76">
        <v>670</v>
      </c>
      <c r="AD27" s="76">
        <v>265</v>
      </c>
      <c r="AE27" s="75">
        <v>235.1</v>
      </c>
      <c r="AF27" s="75">
        <v>69.2</v>
      </c>
      <c r="AG27" s="75">
        <v>15</v>
      </c>
      <c r="AH27" s="75">
        <v>16</v>
      </c>
      <c r="AI27" s="75">
        <v>1200</v>
      </c>
      <c r="AJ27" s="75">
        <v>40</v>
      </c>
      <c r="AK27" s="78">
        <f>'2023-2024'!$AI27/'2023-2024'!$AJ27</f>
        <v>30</v>
      </c>
      <c r="AL27" s="79">
        <v>60236</v>
      </c>
      <c r="AM27" s="75">
        <v>-0.03</v>
      </c>
      <c r="AN27" s="75">
        <v>1</v>
      </c>
      <c r="AO27" s="75">
        <v>0</v>
      </c>
      <c r="AP27" s="75">
        <v>1</v>
      </c>
      <c r="AQ27" s="75">
        <v>0</v>
      </c>
      <c r="AR27" s="75">
        <v>1</v>
      </c>
      <c r="AS27" s="75" t="s">
        <v>220</v>
      </c>
      <c r="AT27" s="80">
        <v>24</v>
      </c>
    </row>
    <row r="28" spans="1:46" x14ac:dyDescent="0.25">
      <c r="A28" s="81">
        <v>4</v>
      </c>
      <c r="B28" s="82" t="s">
        <v>8</v>
      </c>
      <c r="C28" s="82">
        <v>76</v>
      </c>
      <c r="D28" s="82">
        <v>61</v>
      </c>
      <c r="E28" s="82">
        <f t="shared" si="0"/>
        <v>15</v>
      </c>
      <c r="F28" s="82">
        <v>8</v>
      </c>
      <c r="G28" s="83">
        <v>94</v>
      </c>
      <c r="H28" s="83">
        <v>2</v>
      </c>
      <c r="I28" s="83">
        <v>63.3</v>
      </c>
      <c r="J28" s="83">
        <v>59.9</v>
      </c>
      <c r="K28" s="82">
        <f t="shared" si="1"/>
        <v>12.700000000000003</v>
      </c>
      <c r="L28" s="83">
        <v>511</v>
      </c>
      <c r="M28" s="83">
        <v>182</v>
      </c>
      <c r="N28" s="82">
        <v>4</v>
      </c>
      <c r="O28" s="82">
        <v>10</v>
      </c>
      <c r="P28" s="82">
        <v>66</v>
      </c>
      <c r="Q28" s="82">
        <f>'2023-2024'!$C28-'2023-2024'!$P28</f>
        <v>10</v>
      </c>
      <c r="R28" s="82">
        <v>7</v>
      </c>
      <c r="S28" s="83">
        <v>47</v>
      </c>
      <c r="T28" s="83">
        <v>4</v>
      </c>
      <c r="U28" s="83">
        <v>4</v>
      </c>
      <c r="V28" s="82">
        <v>115</v>
      </c>
      <c r="W28" s="83">
        <v>597</v>
      </c>
      <c r="X28" s="84">
        <v>547</v>
      </c>
      <c r="Y28" s="83">
        <v>412</v>
      </c>
      <c r="Z28" s="83">
        <v>19363</v>
      </c>
      <c r="AA28" s="83">
        <v>80</v>
      </c>
      <c r="AB28" s="82">
        <v>2869</v>
      </c>
      <c r="AC28" s="83">
        <v>651</v>
      </c>
      <c r="AD28" s="83">
        <v>231</v>
      </c>
      <c r="AE28" s="82">
        <v>111.5</v>
      </c>
      <c r="AF28" s="82">
        <v>35.549999999999997</v>
      </c>
      <c r="AG28" s="82">
        <v>16</v>
      </c>
      <c r="AH28" s="82">
        <v>15</v>
      </c>
      <c r="AI28" s="82">
        <v>709</v>
      </c>
      <c r="AJ28" s="82">
        <v>45</v>
      </c>
      <c r="AK28" s="85">
        <f>'2023-2024'!$AI28/'2023-2024'!$AJ28</f>
        <v>15.755555555555556</v>
      </c>
      <c r="AL28" s="86">
        <v>41858</v>
      </c>
      <c r="AM28" s="82">
        <v>0.18</v>
      </c>
      <c r="AN28" s="82">
        <v>1</v>
      </c>
      <c r="AO28" s="82">
        <v>0</v>
      </c>
      <c r="AP28" s="82">
        <v>1</v>
      </c>
      <c r="AQ28" s="82">
        <v>0</v>
      </c>
      <c r="AR28" s="82">
        <v>0</v>
      </c>
      <c r="AS28" s="82" t="s">
        <v>222</v>
      </c>
      <c r="AT28" s="87">
        <f>AT27</f>
        <v>24</v>
      </c>
    </row>
    <row r="29" spans="1:46" x14ac:dyDescent="0.25">
      <c r="A29" s="74">
        <v>12</v>
      </c>
      <c r="B29" s="75" t="s">
        <v>85</v>
      </c>
      <c r="C29" s="75">
        <v>54</v>
      </c>
      <c r="D29" s="75">
        <v>67</v>
      </c>
      <c r="E29" s="75">
        <f t="shared" si="0"/>
        <v>-13</v>
      </c>
      <c r="F29" s="75">
        <v>9</v>
      </c>
      <c r="G29" s="83">
        <v>79</v>
      </c>
      <c r="H29" s="83">
        <v>3</v>
      </c>
      <c r="I29" s="83">
        <v>55.9</v>
      </c>
      <c r="J29" s="83">
        <v>58.1</v>
      </c>
      <c r="K29" s="75">
        <f t="shared" si="1"/>
        <v>-1.8999999999999986</v>
      </c>
      <c r="L29" s="83">
        <v>539</v>
      </c>
      <c r="M29" s="83">
        <v>175</v>
      </c>
      <c r="N29" s="75">
        <v>2</v>
      </c>
      <c r="O29" s="75">
        <v>11</v>
      </c>
      <c r="P29" s="75">
        <v>49</v>
      </c>
      <c r="Q29" s="75">
        <f>'2023-2024'!$C29-'2023-2024'!$P29</f>
        <v>5</v>
      </c>
      <c r="R29" s="75">
        <v>5</v>
      </c>
      <c r="S29" s="83">
        <v>56</v>
      </c>
      <c r="T29" s="83">
        <v>1</v>
      </c>
      <c r="U29" s="83">
        <v>3</v>
      </c>
      <c r="V29" s="75">
        <v>127</v>
      </c>
      <c r="W29" s="83">
        <v>817</v>
      </c>
      <c r="X29" s="84">
        <v>693</v>
      </c>
      <c r="Y29" s="83">
        <v>507</v>
      </c>
      <c r="Z29" s="83">
        <v>15920</v>
      </c>
      <c r="AA29" s="83">
        <v>48</v>
      </c>
      <c r="AB29" s="75">
        <v>2259</v>
      </c>
      <c r="AC29" s="83">
        <v>709</v>
      </c>
      <c r="AD29" s="83">
        <v>235</v>
      </c>
      <c r="AE29" s="75">
        <v>127.29</v>
      </c>
      <c r="AF29" s="75">
        <v>1.5</v>
      </c>
      <c r="AG29" s="75">
        <v>25</v>
      </c>
      <c r="AH29" s="75">
        <v>21</v>
      </c>
      <c r="AI29" s="75">
        <v>401</v>
      </c>
      <c r="AJ29" s="75">
        <v>42</v>
      </c>
      <c r="AK29" s="78">
        <f>'2023-2024'!$AI29/'2023-2024'!$AJ29</f>
        <v>9.5476190476190474</v>
      </c>
      <c r="AL29" s="86">
        <v>11103</v>
      </c>
      <c r="AM29" s="75">
        <v>0.08</v>
      </c>
      <c r="AN29" s="75">
        <v>0</v>
      </c>
      <c r="AO29" s="75">
        <v>0</v>
      </c>
      <c r="AP29" s="75">
        <v>0</v>
      </c>
      <c r="AQ29" s="75">
        <v>0</v>
      </c>
      <c r="AR29" s="75">
        <v>0</v>
      </c>
      <c r="AS29" s="75" t="s">
        <v>230</v>
      </c>
      <c r="AT29" s="87">
        <f t="shared" ref="AT29:AT46" si="2">AT28</f>
        <v>24</v>
      </c>
    </row>
    <row r="30" spans="1:46" x14ac:dyDescent="0.25">
      <c r="A30" s="81">
        <v>16</v>
      </c>
      <c r="B30" s="82" t="s">
        <v>10</v>
      </c>
      <c r="C30" s="82">
        <v>56</v>
      </c>
      <c r="D30" s="82">
        <v>65</v>
      </c>
      <c r="E30" s="82">
        <f t="shared" si="0"/>
        <v>-9</v>
      </c>
      <c r="F30" s="82">
        <v>7</v>
      </c>
      <c r="G30" s="83">
        <v>89</v>
      </c>
      <c r="H30" s="83">
        <v>2</v>
      </c>
      <c r="I30" s="83">
        <v>58.2</v>
      </c>
      <c r="J30" s="83">
        <v>56</v>
      </c>
      <c r="K30" s="82">
        <f t="shared" si="1"/>
        <v>-2.2000000000000028</v>
      </c>
      <c r="L30" s="83">
        <v>470</v>
      </c>
      <c r="M30" s="83">
        <v>159</v>
      </c>
      <c r="N30" s="82">
        <v>3</v>
      </c>
      <c r="O30" s="82">
        <v>10</v>
      </c>
      <c r="P30" s="82">
        <v>49</v>
      </c>
      <c r="Q30" s="82">
        <f>'2023-2024'!$C30-'2023-2024'!$P30</f>
        <v>7</v>
      </c>
      <c r="R30" s="82">
        <v>3</v>
      </c>
      <c r="S30" s="83">
        <v>70</v>
      </c>
      <c r="T30" s="83">
        <v>0</v>
      </c>
      <c r="U30" s="83">
        <v>3</v>
      </c>
      <c r="V30" s="82">
        <v>119</v>
      </c>
      <c r="W30" s="83">
        <v>903</v>
      </c>
      <c r="X30" s="84">
        <v>677</v>
      </c>
      <c r="Y30" s="83">
        <v>385</v>
      </c>
      <c r="Z30" s="83">
        <v>16818</v>
      </c>
      <c r="AA30" s="83">
        <v>70</v>
      </c>
      <c r="AB30" s="82">
        <v>2393</v>
      </c>
      <c r="AC30" s="83">
        <v>706</v>
      </c>
      <c r="AD30" s="83">
        <v>184</v>
      </c>
      <c r="AE30" s="82">
        <v>72.349999999999994</v>
      </c>
      <c r="AF30" s="82">
        <v>10.25</v>
      </c>
      <c r="AG30" s="82">
        <v>19</v>
      </c>
      <c r="AH30" s="82">
        <v>16</v>
      </c>
      <c r="AI30" s="82">
        <v>429</v>
      </c>
      <c r="AJ30" s="82">
        <v>42</v>
      </c>
      <c r="AK30" s="85">
        <f>'2023-2024'!$AI30/'2023-2024'!$AJ30</f>
        <v>10.214285714285714</v>
      </c>
      <c r="AL30" s="86">
        <v>17082</v>
      </c>
      <c r="AM30" s="82">
        <v>-0.01</v>
      </c>
      <c r="AN30" s="82">
        <v>0</v>
      </c>
      <c r="AO30" s="82">
        <v>0</v>
      </c>
      <c r="AP30" s="82">
        <v>0</v>
      </c>
      <c r="AQ30" s="82">
        <v>0</v>
      </c>
      <c r="AR30" s="82">
        <v>0</v>
      </c>
      <c r="AS30" s="82" t="s">
        <v>234</v>
      </c>
      <c r="AT30" s="87">
        <f t="shared" si="2"/>
        <v>24</v>
      </c>
    </row>
    <row r="31" spans="1:46" x14ac:dyDescent="0.25">
      <c r="A31" s="74">
        <v>11</v>
      </c>
      <c r="B31" s="75" t="s">
        <v>14</v>
      </c>
      <c r="C31" s="75">
        <v>55</v>
      </c>
      <c r="D31" s="75">
        <v>62</v>
      </c>
      <c r="E31" s="75">
        <f t="shared" si="0"/>
        <v>-7</v>
      </c>
      <c r="F31" s="75">
        <v>6</v>
      </c>
      <c r="G31" s="83">
        <v>90</v>
      </c>
      <c r="H31" s="83">
        <v>3</v>
      </c>
      <c r="I31" s="83">
        <v>56.8</v>
      </c>
      <c r="J31" s="83">
        <v>55.4</v>
      </c>
      <c r="K31" s="75">
        <f t="shared" si="1"/>
        <v>-1.7999999999999972</v>
      </c>
      <c r="L31" s="83">
        <v>555</v>
      </c>
      <c r="M31" s="83">
        <v>198</v>
      </c>
      <c r="N31" s="75">
        <v>5</v>
      </c>
      <c r="O31" s="75">
        <v>11</v>
      </c>
      <c r="P31" s="75">
        <v>49</v>
      </c>
      <c r="Q31" s="75">
        <f>'2023-2024'!$C31-'2023-2024'!$P31</f>
        <v>6</v>
      </c>
      <c r="R31" s="75">
        <v>1</v>
      </c>
      <c r="S31" s="83">
        <v>84</v>
      </c>
      <c r="T31" s="83">
        <v>2</v>
      </c>
      <c r="U31" s="83">
        <v>6</v>
      </c>
      <c r="V31" s="75">
        <v>105</v>
      </c>
      <c r="W31" s="83">
        <v>603</v>
      </c>
      <c r="X31" s="84">
        <v>644</v>
      </c>
      <c r="Y31" s="83">
        <v>414</v>
      </c>
      <c r="Z31" s="83">
        <v>25029</v>
      </c>
      <c r="AA31" s="83">
        <v>62</v>
      </c>
      <c r="AB31" s="75">
        <v>4187</v>
      </c>
      <c r="AC31" s="83">
        <v>671</v>
      </c>
      <c r="AD31" s="83">
        <v>206</v>
      </c>
      <c r="AE31" s="75">
        <v>109.5</v>
      </c>
      <c r="AF31" s="75">
        <v>190.2</v>
      </c>
      <c r="AG31" s="75">
        <v>31</v>
      </c>
      <c r="AH31" s="75">
        <v>24</v>
      </c>
      <c r="AI31" s="75">
        <v>524</v>
      </c>
      <c r="AJ31" s="75">
        <v>49</v>
      </c>
      <c r="AK31" s="78">
        <f>'2023-2024'!$AI31/'2023-2024'!$AJ31</f>
        <v>10.693877551020408</v>
      </c>
      <c r="AL31" s="86">
        <v>32638</v>
      </c>
      <c r="AM31" s="75">
        <v>0.11</v>
      </c>
      <c r="AN31" s="75">
        <v>1</v>
      </c>
      <c r="AO31" s="75">
        <v>0</v>
      </c>
      <c r="AP31" s="75">
        <v>0</v>
      </c>
      <c r="AQ31" s="75">
        <v>0</v>
      </c>
      <c r="AR31" s="75">
        <v>0</v>
      </c>
      <c r="AS31" s="75" t="s">
        <v>229</v>
      </c>
      <c r="AT31" s="87">
        <f t="shared" si="2"/>
        <v>24</v>
      </c>
    </row>
    <row r="32" spans="1:46" x14ac:dyDescent="0.25">
      <c r="A32" s="81">
        <v>19</v>
      </c>
      <c r="B32" s="82" t="s">
        <v>17</v>
      </c>
      <c r="C32" s="82">
        <v>41</v>
      </c>
      <c r="D32" s="82">
        <v>78</v>
      </c>
      <c r="E32" s="82">
        <f t="shared" si="0"/>
        <v>-37</v>
      </c>
      <c r="F32" s="82">
        <v>2</v>
      </c>
      <c r="G32" s="83">
        <v>77</v>
      </c>
      <c r="H32" s="83">
        <v>7</v>
      </c>
      <c r="I32" s="83">
        <v>40.6</v>
      </c>
      <c r="J32" s="83">
        <v>70.400000000000006</v>
      </c>
      <c r="K32" s="82">
        <f t="shared" si="1"/>
        <v>0.39999999999999858</v>
      </c>
      <c r="L32" s="83">
        <v>430</v>
      </c>
      <c r="M32" s="83">
        <v>137</v>
      </c>
      <c r="N32" s="82">
        <v>3</v>
      </c>
      <c r="O32" s="82">
        <v>5</v>
      </c>
      <c r="P32" s="82">
        <v>31</v>
      </c>
      <c r="Q32" s="82">
        <f>'2023-2024'!$C32-'2023-2024'!$P32</f>
        <v>10</v>
      </c>
      <c r="R32" s="82">
        <v>1</v>
      </c>
      <c r="S32" s="83">
        <v>76</v>
      </c>
      <c r="T32" s="83">
        <v>3</v>
      </c>
      <c r="U32" s="83">
        <v>3</v>
      </c>
      <c r="V32" s="82">
        <v>168</v>
      </c>
      <c r="W32" s="83">
        <v>837</v>
      </c>
      <c r="X32" s="84">
        <v>607</v>
      </c>
      <c r="Y32" s="83">
        <v>429</v>
      </c>
      <c r="Z32" s="83">
        <v>17959</v>
      </c>
      <c r="AA32" s="83">
        <v>49</v>
      </c>
      <c r="AB32" s="82">
        <v>2978</v>
      </c>
      <c r="AC32" s="83">
        <v>550</v>
      </c>
      <c r="AD32" s="83">
        <v>180</v>
      </c>
      <c r="AE32" s="82">
        <v>111.05</v>
      </c>
      <c r="AF32" s="82">
        <v>3.8</v>
      </c>
      <c r="AG32" s="82">
        <v>27</v>
      </c>
      <c r="AH32" s="82">
        <v>20</v>
      </c>
      <c r="AI32" s="82">
        <v>273</v>
      </c>
      <c r="AJ32" s="82">
        <v>39</v>
      </c>
      <c r="AK32" s="85">
        <f>'2023-2024'!$AI32/'2023-2024'!$AJ32</f>
        <v>7</v>
      </c>
      <c r="AL32" s="86">
        <v>21184</v>
      </c>
      <c r="AM32" s="82">
        <v>-0.09</v>
      </c>
      <c r="AN32" s="82">
        <v>0</v>
      </c>
      <c r="AO32" s="82">
        <v>1</v>
      </c>
      <c r="AP32" s="82">
        <v>0</v>
      </c>
      <c r="AQ32" s="82">
        <v>1</v>
      </c>
      <c r="AR32" s="82">
        <v>0</v>
      </c>
      <c r="AS32" s="82" t="s">
        <v>237</v>
      </c>
      <c r="AT32" s="87">
        <f t="shared" si="2"/>
        <v>24</v>
      </c>
    </row>
    <row r="33" spans="1:46" x14ac:dyDescent="0.25">
      <c r="A33" s="74">
        <v>6</v>
      </c>
      <c r="B33" s="75" t="s">
        <v>2</v>
      </c>
      <c r="C33" s="75">
        <v>77</v>
      </c>
      <c r="D33" s="75">
        <v>63</v>
      </c>
      <c r="E33" s="75">
        <f t="shared" si="0"/>
        <v>14</v>
      </c>
      <c r="F33" s="75">
        <v>8</v>
      </c>
      <c r="G33" s="83">
        <v>109</v>
      </c>
      <c r="H33" s="83">
        <v>4</v>
      </c>
      <c r="I33" s="83">
        <v>74.5</v>
      </c>
      <c r="J33" s="83">
        <v>58.1</v>
      </c>
      <c r="K33" s="75">
        <f t="shared" si="1"/>
        <v>2.5</v>
      </c>
      <c r="L33" s="83">
        <v>537</v>
      </c>
      <c r="M33" s="83">
        <v>194</v>
      </c>
      <c r="N33" s="75">
        <v>11</v>
      </c>
      <c r="O33" s="75">
        <v>13</v>
      </c>
      <c r="P33" s="75">
        <v>69</v>
      </c>
      <c r="Q33" s="75">
        <f>'2023-2024'!$C33-'2023-2024'!$P33</f>
        <v>8</v>
      </c>
      <c r="R33" s="75">
        <v>3</v>
      </c>
      <c r="S33" s="83">
        <v>85</v>
      </c>
      <c r="T33" s="83">
        <v>3</v>
      </c>
      <c r="U33" s="83">
        <v>11</v>
      </c>
      <c r="V33" s="75">
        <v>125</v>
      </c>
      <c r="W33" s="83">
        <v>785</v>
      </c>
      <c r="X33" s="84">
        <v>663</v>
      </c>
      <c r="Y33" s="83">
        <v>446</v>
      </c>
      <c r="Z33" s="88">
        <v>23364</v>
      </c>
      <c r="AA33" s="88">
        <v>116</v>
      </c>
      <c r="AB33" s="75">
        <v>3559</v>
      </c>
      <c r="AC33" s="88">
        <v>558</v>
      </c>
      <c r="AD33" s="88">
        <v>202</v>
      </c>
      <c r="AE33" s="75">
        <v>466.1</v>
      </c>
      <c r="AF33" s="75">
        <v>278.3</v>
      </c>
      <c r="AG33" s="75">
        <v>31</v>
      </c>
      <c r="AH33" s="75">
        <v>32</v>
      </c>
      <c r="AI33" s="75">
        <v>1010</v>
      </c>
      <c r="AJ33" s="75">
        <v>56</v>
      </c>
      <c r="AK33" s="78">
        <f>'2023-2024'!$AI33/'2023-2024'!$AJ33</f>
        <v>18.035714285714285</v>
      </c>
      <c r="AL33" s="86">
        <v>39524</v>
      </c>
      <c r="AM33" s="75">
        <v>0.16</v>
      </c>
      <c r="AN33" s="75">
        <v>0</v>
      </c>
      <c r="AO33" s="75">
        <v>0</v>
      </c>
      <c r="AP33" s="75">
        <v>0</v>
      </c>
      <c r="AQ33" s="75">
        <v>0</v>
      </c>
      <c r="AR33" s="75">
        <v>1</v>
      </c>
      <c r="AS33" s="75" t="s">
        <v>224</v>
      </c>
      <c r="AT33" s="87">
        <f t="shared" si="2"/>
        <v>24</v>
      </c>
    </row>
    <row r="34" spans="1:46" x14ac:dyDescent="0.25">
      <c r="A34" s="81">
        <v>10</v>
      </c>
      <c r="B34" s="82" t="s">
        <v>9</v>
      </c>
      <c r="C34" s="82">
        <v>57</v>
      </c>
      <c r="D34" s="82">
        <v>58</v>
      </c>
      <c r="E34" s="82">
        <f t="shared" si="0"/>
        <v>-1</v>
      </c>
      <c r="F34" s="82">
        <v>10</v>
      </c>
      <c r="G34" s="83">
        <v>73</v>
      </c>
      <c r="H34" s="83">
        <v>2</v>
      </c>
      <c r="I34" s="83">
        <v>48.6</v>
      </c>
      <c r="J34" s="83">
        <v>52</v>
      </c>
      <c r="K34" s="82">
        <f t="shared" si="1"/>
        <v>8.3999999999999986</v>
      </c>
      <c r="L34" s="83">
        <v>452</v>
      </c>
      <c r="M34" s="83">
        <v>162</v>
      </c>
      <c r="N34" s="82">
        <v>4</v>
      </c>
      <c r="O34" s="82">
        <v>4</v>
      </c>
      <c r="P34" s="82">
        <v>48</v>
      </c>
      <c r="Q34" s="82">
        <f>'2023-2024'!$C34-'2023-2024'!$P34</f>
        <v>9</v>
      </c>
      <c r="R34" s="82">
        <v>2</v>
      </c>
      <c r="S34" s="83">
        <v>72</v>
      </c>
      <c r="T34" s="83">
        <v>2</v>
      </c>
      <c r="U34" s="83">
        <v>4</v>
      </c>
      <c r="V34" s="82">
        <v>98</v>
      </c>
      <c r="W34" s="89">
        <v>927</v>
      </c>
      <c r="X34" s="90">
        <v>788</v>
      </c>
      <c r="Y34" s="83">
        <v>457</v>
      </c>
      <c r="Z34" s="83">
        <v>16754</v>
      </c>
      <c r="AA34" s="83">
        <v>52</v>
      </c>
      <c r="AB34" s="82">
        <v>2627</v>
      </c>
      <c r="AC34" s="83">
        <v>583</v>
      </c>
      <c r="AD34" s="83">
        <v>178</v>
      </c>
      <c r="AE34" s="82">
        <v>67.8</v>
      </c>
      <c r="AF34" s="82">
        <v>0</v>
      </c>
      <c r="AG34" s="82">
        <v>8</v>
      </c>
      <c r="AH34" s="82">
        <v>9</v>
      </c>
      <c r="AI34" s="82">
        <v>446</v>
      </c>
      <c r="AJ34" s="82">
        <v>40</v>
      </c>
      <c r="AK34" s="85">
        <f>'2023-2024'!$AI34/'2023-2024'!$AJ34</f>
        <v>11.15</v>
      </c>
      <c r="AL34" s="86">
        <v>24932</v>
      </c>
      <c r="AM34" s="82">
        <v>0.2</v>
      </c>
      <c r="AN34" s="82">
        <v>0</v>
      </c>
      <c r="AO34" s="82">
        <v>0</v>
      </c>
      <c r="AP34" s="82">
        <v>0</v>
      </c>
      <c r="AQ34" s="82">
        <v>0</v>
      </c>
      <c r="AR34" s="82">
        <v>0</v>
      </c>
      <c r="AS34" s="82" t="s">
        <v>228</v>
      </c>
      <c r="AT34" s="87">
        <f t="shared" si="2"/>
        <v>24</v>
      </c>
    </row>
    <row r="35" spans="1:46" x14ac:dyDescent="0.25">
      <c r="A35" s="74">
        <v>15</v>
      </c>
      <c r="B35" s="75" t="s">
        <v>15</v>
      </c>
      <c r="C35" s="75">
        <v>40</v>
      </c>
      <c r="D35" s="75">
        <v>51</v>
      </c>
      <c r="E35" s="75">
        <f t="shared" si="0"/>
        <v>-11</v>
      </c>
      <c r="F35" s="75">
        <v>13</v>
      </c>
      <c r="G35" s="83">
        <v>82</v>
      </c>
      <c r="H35" s="83">
        <v>1</v>
      </c>
      <c r="I35" s="83">
        <v>54</v>
      </c>
      <c r="J35" s="83">
        <v>55.2</v>
      </c>
      <c r="K35" s="75">
        <f t="shared" si="1"/>
        <v>-14</v>
      </c>
      <c r="L35" s="83">
        <v>504</v>
      </c>
      <c r="M35" s="83">
        <v>152</v>
      </c>
      <c r="N35" s="75">
        <v>2</v>
      </c>
      <c r="O35" s="75">
        <v>8</v>
      </c>
      <c r="P35" s="75">
        <v>34</v>
      </c>
      <c r="Q35" s="75">
        <f>'2023-2024'!$C35-'2023-2024'!$P35</f>
        <v>6</v>
      </c>
      <c r="R35" s="75">
        <v>1</v>
      </c>
      <c r="S35" s="83">
        <v>89</v>
      </c>
      <c r="T35" s="83">
        <v>3</v>
      </c>
      <c r="U35" s="83">
        <v>2</v>
      </c>
      <c r="V35" s="75">
        <v>117</v>
      </c>
      <c r="W35" s="83">
        <v>882</v>
      </c>
      <c r="X35" s="84">
        <v>743</v>
      </c>
      <c r="Y35" s="83">
        <v>457</v>
      </c>
      <c r="Z35" s="83">
        <v>15514</v>
      </c>
      <c r="AA35" s="83">
        <v>45</v>
      </c>
      <c r="AB35" s="75">
        <v>2347</v>
      </c>
      <c r="AC35" s="83">
        <v>752</v>
      </c>
      <c r="AD35" s="83">
        <v>181</v>
      </c>
      <c r="AE35" s="75">
        <v>40.5</v>
      </c>
      <c r="AF35" s="75">
        <v>82.8</v>
      </c>
      <c r="AG35" s="75">
        <v>16</v>
      </c>
      <c r="AH35" s="75">
        <v>16</v>
      </c>
      <c r="AI35" s="75">
        <v>391</v>
      </c>
      <c r="AJ35" s="75">
        <v>34</v>
      </c>
      <c r="AK35" s="78">
        <f>'2023-2024'!$AI35/'2023-2024'!$AJ35</f>
        <v>11.5</v>
      </c>
      <c r="AL35" s="86">
        <v>39042</v>
      </c>
      <c r="AM35" s="75">
        <v>0.2</v>
      </c>
      <c r="AN35" s="75">
        <v>0</v>
      </c>
      <c r="AO35" s="75">
        <v>0</v>
      </c>
      <c r="AP35" s="75">
        <v>0</v>
      </c>
      <c r="AQ35" s="75">
        <v>0</v>
      </c>
      <c r="AR35" s="75">
        <v>0</v>
      </c>
      <c r="AS35" s="75" t="s">
        <v>233</v>
      </c>
      <c r="AT35" s="87">
        <f t="shared" si="2"/>
        <v>24</v>
      </c>
    </row>
    <row r="36" spans="1:46" x14ac:dyDescent="0.25">
      <c r="A36" s="81">
        <v>13</v>
      </c>
      <c r="B36" s="82" t="s">
        <v>27</v>
      </c>
      <c r="C36" s="82">
        <v>55</v>
      </c>
      <c r="D36" s="82">
        <v>61</v>
      </c>
      <c r="E36" s="82">
        <f t="shared" si="0"/>
        <v>-6</v>
      </c>
      <c r="F36" s="82">
        <v>10</v>
      </c>
      <c r="G36" s="83">
        <v>84</v>
      </c>
      <c r="H36" s="83">
        <v>4</v>
      </c>
      <c r="I36" s="83">
        <v>50.8</v>
      </c>
      <c r="J36" s="83">
        <v>62.9</v>
      </c>
      <c r="K36" s="82">
        <f t="shared" si="1"/>
        <v>4.2000000000000028</v>
      </c>
      <c r="L36" s="83">
        <v>499</v>
      </c>
      <c r="M36" s="83">
        <v>175</v>
      </c>
      <c r="N36" s="82">
        <v>2</v>
      </c>
      <c r="O36" s="82">
        <v>9</v>
      </c>
      <c r="P36" s="82">
        <v>48</v>
      </c>
      <c r="Q36" s="82">
        <f>'2023-2024'!$C36-'2023-2024'!$P36</f>
        <v>7</v>
      </c>
      <c r="R36" s="82">
        <v>3</v>
      </c>
      <c r="S36" s="83">
        <v>51</v>
      </c>
      <c r="T36" s="83">
        <v>4</v>
      </c>
      <c r="U36" s="83">
        <v>2</v>
      </c>
      <c r="V36" s="82">
        <v>133</v>
      </c>
      <c r="W36" s="83">
        <v>744</v>
      </c>
      <c r="X36" s="84">
        <v>679</v>
      </c>
      <c r="Y36" s="83">
        <v>384</v>
      </c>
      <c r="Z36" s="83">
        <v>20237</v>
      </c>
      <c r="AA36" s="83">
        <v>58</v>
      </c>
      <c r="AB36" s="82">
        <v>2923</v>
      </c>
      <c r="AC36" s="83">
        <v>736</v>
      </c>
      <c r="AD36" s="83">
        <v>212</v>
      </c>
      <c r="AE36" s="82">
        <v>73.17</v>
      </c>
      <c r="AF36" s="82">
        <v>53.2</v>
      </c>
      <c r="AG36" s="82">
        <v>15</v>
      </c>
      <c r="AH36" s="82">
        <v>17</v>
      </c>
      <c r="AI36" s="82">
        <v>384</v>
      </c>
      <c r="AJ36" s="82">
        <v>35</v>
      </c>
      <c r="AK36" s="85">
        <f>'2023-2024'!$AI36/'2023-2024'!$AJ36</f>
        <v>10.971428571428572</v>
      </c>
      <c r="AL36" s="86">
        <v>24302</v>
      </c>
      <c r="AM36" s="82">
        <v>0.17</v>
      </c>
      <c r="AN36" s="82">
        <v>0</v>
      </c>
      <c r="AO36" s="82">
        <v>0</v>
      </c>
      <c r="AP36" s="82">
        <v>0</v>
      </c>
      <c r="AQ36" s="82">
        <v>0</v>
      </c>
      <c r="AR36" s="82">
        <v>0</v>
      </c>
      <c r="AS36" s="82" t="s">
        <v>231</v>
      </c>
      <c r="AT36" s="87">
        <f t="shared" si="2"/>
        <v>24</v>
      </c>
    </row>
    <row r="37" spans="1:46" x14ac:dyDescent="0.25">
      <c r="A37" s="74">
        <v>3</v>
      </c>
      <c r="B37" s="75" t="s">
        <v>1</v>
      </c>
      <c r="C37" s="75">
        <v>86</v>
      </c>
      <c r="D37" s="75">
        <v>41</v>
      </c>
      <c r="E37" s="75">
        <f t="shared" si="0"/>
        <v>45</v>
      </c>
      <c r="F37" s="75">
        <v>10</v>
      </c>
      <c r="G37" s="83">
        <v>69</v>
      </c>
      <c r="H37" s="83">
        <v>5</v>
      </c>
      <c r="I37" s="83">
        <v>87.8</v>
      </c>
      <c r="J37" s="83">
        <v>45.7</v>
      </c>
      <c r="K37" s="75">
        <f t="shared" si="1"/>
        <v>-1.7999999999999972</v>
      </c>
      <c r="L37" s="83">
        <v>781</v>
      </c>
      <c r="M37" s="83">
        <v>263</v>
      </c>
      <c r="N37" s="75">
        <v>6</v>
      </c>
      <c r="O37" s="75">
        <v>13</v>
      </c>
      <c r="P37" s="75">
        <v>74</v>
      </c>
      <c r="Q37" s="75">
        <f>'2023-2024'!$C37-'2023-2024'!$P37</f>
        <v>12</v>
      </c>
      <c r="R37" s="75">
        <v>6</v>
      </c>
      <c r="S37" s="83">
        <v>100</v>
      </c>
      <c r="T37" s="83">
        <v>2</v>
      </c>
      <c r="U37" s="83">
        <v>8</v>
      </c>
      <c r="V37" s="75">
        <v>108</v>
      </c>
      <c r="W37" s="83">
        <v>583</v>
      </c>
      <c r="X37" s="84">
        <v>677</v>
      </c>
      <c r="Y37" s="83">
        <v>463</v>
      </c>
      <c r="Z37" s="83">
        <v>24379</v>
      </c>
      <c r="AA37" s="83">
        <v>102</v>
      </c>
      <c r="AB37" s="75">
        <v>3548</v>
      </c>
      <c r="AC37" s="83">
        <v>817</v>
      </c>
      <c r="AD37" s="83">
        <v>287</v>
      </c>
      <c r="AE37" s="75">
        <v>172</v>
      </c>
      <c r="AF37" s="75">
        <v>60.7</v>
      </c>
      <c r="AG37" s="75">
        <v>15</v>
      </c>
      <c r="AH37" s="75">
        <v>17</v>
      </c>
      <c r="AI37" s="75">
        <v>955</v>
      </c>
      <c r="AJ37" s="75">
        <v>45</v>
      </c>
      <c r="AK37" s="78">
        <f>'2023-2024'!$AI37/'2023-2024'!$AJ37</f>
        <v>21.222222222222221</v>
      </c>
      <c r="AL37" s="86">
        <v>55979</v>
      </c>
      <c r="AM37" s="75">
        <v>0.16</v>
      </c>
      <c r="AN37" s="75">
        <v>1</v>
      </c>
      <c r="AO37" s="75">
        <v>0</v>
      </c>
      <c r="AP37" s="75">
        <v>1</v>
      </c>
      <c r="AQ37" s="75">
        <v>0</v>
      </c>
      <c r="AR37" s="75">
        <v>1</v>
      </c>
      <c r="AS37" s="75" t="s">
        <v>221</v>
      </c>
      <c r="AT37" s="87">
        <f t="shared" si="2"/>
        <v>24</v>
      </c>
    </row>
    <row r="38" spans="1:46" x14ac:dyDescent="0.25">
      <c r="A38" s="81">
        <v>18</v>
      </c>
      <c r="B38" s="82" t="s">
        <v>149</v>
      </c>
      <c r="C38" s="82">
        <v>52</v>
      </c>
      <c r="D38" s="82">
        <v>85</v>
      </c>
      <c r="E38" s="82">
        <f t="shared" si="0"/>
        <v>-33</v>
      </c>
      <c r="F38" s="82">
        <v>2</v>
      </c>
      <c r="G38" s="83">
        <v>71</v>
      </c>
      <c r="H38" s="83">
        <v>0</v>
      </c>
      <c r="I38" s="83">
        <v>42.4</v>
      </c>
      <c r="J38" s="83">
        <v>78</v>
      </c>
      <c r="K38" s="82">
        <f t="shared" si="1"/>
        <v>9.6000000000000014</v>
      </c>
      <c r="L38" s="83">
        <v>427</v>
      </c>
      <c r="M38" s="83">
        <v>134</v>
      </c>
      <c r="N38" s="82">
        <v>5</v>
      </c>
      <c r="O38" s="82">
        <v>15</v>
      </c>
      <c r="P38" s="82">
        <v>50</v>
      </c>
      <c r="Q38" s="82">
        <f>'2023-2024'!$C38-'2023-2024'!$P38</f>
        <v>2</v>
      </c>
      <c r="R38" s="82">
        <v>3</v>
      </c>
      <c r="S38" s="83">
        <v>67</v>
      </c>
      <c r="T38" s="83">
        <v>4</v>
      </c>
      <c r="U38" s="83">
        <v>2</v>
      </c>
      <c r="V38" s="82">
        <v>145</v>
      </c>
      <c r="W38" s="83">
        <v>916</v>
      </c>
      <c r="X38" s="84">
        <v>654</v>
      </c>
      <c r="Y38" s="83">
        <v>443</v>
      </c>
      <c r="Z38" s="83">
        <v>15099</v>
      </c>
      <c r="AA38" s="83">
        <v>22</v>
      </c>
      <c r="AB38" s="82">
        <v>2120</v>
      </c>
      <c r="AC38" s="83">
        <v>841</v>
      </c>
      <c r="AD38" s="83">
        <v>203</v>
      </c>
      <c r="AE38" s="82">
        <v>25.9</v>
      </c>
      <c r="AF38" s="82">
        <v>0.3</v>
      </c>
      <c r="AG38" s="82">
        <v>29</v>
      </c>
      <c r="AH38" s="82">
        <v>25</v>
      </c>
      <c r="AI38" s="82">
        <v>140</v>
      </c>
      <c r="AJ38" s="82">
        <v>46</v>
      </c>
      <c r="AK38" s="85">
        <f>'2023-2024'!$AI38/'2023-2024'!$AJ38</f>
        <v>3.0434782608695654</v>
      </c>
      <c r="AL38" s="86">
        <v>11240</v>
      </c>
      <c r="AM38" s="82">
        <v>0.1</v>
      </c>
      <c r="AN38" s="82">
        <v>0</v>
      </c>
      <c r="AO38" s="82">
        <v>1</v>
      </c>
      <c r="AP38" s="82">
        <v>0</v>
      </c>
      <c r="AQ38" s="82">
        <v>1</v>
      </c>
      <c r="AR38" s="82">
        <v>0</v>
      </c>
      <c r="AS38" s="82" t="s">
        <v>236</v>
      </c>
      <c r="AT38" s="87">
        <f t="shared" si="2"/>
        <v>24</v>
      </c>
    </row>
    <row r="39" spans="1:46" x14ac:dyDescent="0.25">
      <c r="A39" s="74">
        <v>1</v>
      </c>
      <c r="B39" s="75" t="s">
        <v>25</v>
      </c>
      <c r="C39" s="75">
        <v>96</v>
      </c>
      <c r="D39" s="75">
        <v>34</v>
      </c>
      <c r="E39" s="75">
        <f t="shared" si="0"/>
        <v>62</v>
      </c>
      <c r="F39" s="75">
        <v>13</v>
      </c>
      <c r="G39" s="83">
        <v>53</v>
      </c>
      <c r="H39" s="83">
        <v>2</v>
      </c>
      <c r="I39" s="83">
        <v>80.5</v>
      </c>
      <c r="J39" s="83">
        <v>35.6</v>
      </c>
      <c r="K39" s="75">
        <f t="shared" si="1"/>
        <v>15.5</v>
      </c>
      <c r="L39" s="83">
        <v>683</v>
      </c>
      <c r="M39" s="83">
        <v>264</v>
      </c>
      <c r="N39" s="75">
        <v>9</v>
      </c>
      <c r="O39" s="75">
        <v>11</v>
      </c>
      <c r="P39" s="75">
        <v>81</v>
      </c>
      <c r="Q39" s="75">
        <f>'2023-2024'!$C39-'2023-2024'!$P39</f>
        <v>15</v>
      </c>
      <c r="R39" s="75">
        <v>2</v>
      </c>
      <c r="S39" s="83">
        <v>42</v>
      </c>
      <c r="T39" s="83">
        <v>1</v>
      </c>
      <c r="U39" s="83">
        <v>8</v>
      </c>
      <c r="V39" s="75">
        <v>76</v>
      </c>
      <c r="W39" s="83">
        <v>457</v>
      </c>
      <c r="X39" s="84">
        <v>517</v>
      </c>
      <c r="Y39" s="83">
        <v>289</v>
      </c>
      <c r="Z39" s="83">
        <v>27758</v>
      </c>
      <c r="AA39" s="83">
        <v>85</v>
      </c>
      <c r="AB39" s="75">
        <v>4796</v>
      </c>
      <c r="AC39" s="83">
        <v>700</v>
      </c>
      <c r="AD39" s="83">
        <v>286</v>
      </c>
      <c r="AE39" s="75">
        <v>259.60000000000002</v>
      </c>
      <c r="AF39" s="75">
        <v>121.5</v>
      </c>
      <c r="AG39" s="75">
        <v>19</v>
      </c>
      <c r="AH39" s="75">
        <v>20</v>
      </c>
      <c r="AI39" s="75">
        <v>1460</v>
      </c>
      <c r="AJ39" s="75">
        <v>36</v>
      </c>
      <c r="AK39" s="78">
        <f>'2023-2024'!$AI39/'2023-2024'!$AJ39</f>
        <v>40.555555555555557</v>
      </c>
      <c r="AL39" s="86">
        <v>53012</v>
      </c>
      <c r="AM39" s="75">
        <v>0.06</v>
      </c>
      <c r="AN39" s="75">
        <v>1</v>
      </c>
      <c r="AO39" s="75">
        <v>0</v>
      </c>
      <c r="AP39" s="75">
        <v>1</v>
      </c>
      <c r="AQ39" s="75">
        <v>0</v>
      </c>
      <c r="AR39" s="75">
        <v>1</v>
      </c>
      <c r="AS39" s="75" t="s">
        <v>219</v>
      </c>
      <c r="AT39" s="87">
        <f t="shared" si="2"/>
        <v>24</v>
      </c>
    </row>
    <row r="40" spans="1:46" x14ac:dyDescent="0.25">
      <c r="A40" s="81">
        <v>8</v>
      </c>
      <c r="B40" s="82" t="s">
        <v>4</v>
      </c>
      <c r="C40" s="82">
        <v>57</v>
      </c>
      <c r="D40" s="82">
        <v>58</v>
      </c>
      <c r="E40" s="82">
        <f t="shared" si="0"/>
        <v>-1</v>
      </c>
      <c r="F40" s="82">
        <v>9</v>
      </c>
      <c r="G40" s="83">
        <v>83</v>
      </c>
      <c r="H40" s="83">
        <v>1</v>
      </c>
      <c r="I40" s="83">
        <v>56.5</v>
      </c>
      <c r="J40" s="83">
        <v>68.900000000000006</v>
      </c>
      <c r="K40" s="82">
        <f t="shared" si="1"/>
        <v>0.5</v>
      </c>
      <c r="L40" s="83">
        <v>543</v>
      </c>
      <c r="M40" s="83">
        <v>182</v>
      </c>
      <c r="N40" s="82">
        <v>6</v>
      </c>
      <c r="O40" s="82">
        <v>8</v>
      </c>
      <c r="P40" s="82">
        <v>51</v>
      </c>
      <c r="Q40" s="82">
        <f>'2023-2024'!$C40-'2023-2024'!$P40</f>
        <v>6</v>
      </c>
      <c r="R40" s="82">
        <v>3</v>
      </c>
      <c r="S40" s="83">
        <v>91</v>
      </c>
      <c r="T40" s="83">
        <v>1</v>
      </c>
      <c r="U40" s="83">
        <v>6</v>
      </c>
      <c r="V40" s="82">
        <v>146</v>
      </c>
      <c r="W40" s="83">
        <v>884</v>
      </c>
      <c r="X40" s="84">
        <v>676</v>
      </c>
      <c r="Y40" s="83">
        <v>401</v>
      </c>
      <c r="Z40" s="83">
        <v>19538</v>
      </c>
      <c r="AA40" s="83">
        <v>73</v>
      </c>
      <c r="AB40" s="82">
        <v>2940</v>
      </c>
      <c r="AC40" s="83">
        <v>594</v>
      </c>
      <c r="AD40" s="83">
        <v>224</v>
      </c>
      <c r="AE40" s="82">
        <v>202.3</v>
      </c>
      <c r="AF40" s="82">
        <v>58.34</v>
      </c>
      <c r="AG40" s="82">
        <v>16</v>
      </c>
      <c r="AH40" s="82">
        <v>24</v>
      </c>
      <c r="AI40" s="82">
        <v>808</v>
      </c>
      <c r="AJ40" s="82">
        <v>46</v>
      </c>
      <c r="AK40" s="85">
        <f>'2023-2024'!$AI40/'2023-2024'!$AJ40</f>
        <v>17.565217391304348</v>
      </c>
      <c r="AL40" s="86">
        <v>73533</v>
      </c>
      <c r="AM40" s="82">
        <v>7.0000000000000007E-2</v>
      </c>
      <c r="AN40" s="82">
        <v>1</v>
      </c>
      <c r="AO40" s="82">
        <v>0</v>
      </c>
      <c r="AP40" s="82">
        <v>0</v>
      </c>
      <c r="AQ40" s="82">
        <v>0</v>
      </c>
      <c r="AR40" s="82">
        <v>1</v>
      </c>
      <c r="AS40" s="82" t="s">
        <v>226</v>
      </c>
      <c r="AT40" s="87">
        <f t="shared" si="2"/>
        <v>24</v>
      </c>
    </row>
    <row r="41" spans="1:46" x14ac:dyDescent="0.25">
      <c r="A41" s="74">
        <v>7</v>
      </c>
      <c r="B41" s="75" t="s">
        <v>12</v>
      </c>
      <c r="C41" s="75">
        <v>85</v>
      </c>
      <c r="D41" s="75">
        <v>62</v>
      </c>
      <c r="E41" s="75">
        <f t="shared" si="0"/>
        <v>23</v>
      </c>
      <c r="F41" s="75">
        <v>10</v>
      </c>
      <c r="G41" s="83">
        <v>79</v>
      </c>
      <c r="H41" s="83">
        <v>1</v>
      </c>
      <c r="I41" s="83">
        <v>76</v>
      </c>
      <c r="J41" s="83">
        <v>61.4</v>
      </c>
      <c r="K41" s="75">
        <f t="shared" si="1"/>
        <v>9</v>
      </c>
      <c r="L41" s="83">
        <v>542</v>
      </c>
      <c r="M41" s="83">
        <v>196</v>
      </c>
      <c r="N41" s="75">
        <v>8</v>
      </c>
      <c r="O41" s="75">
        <v>10</v>
      </c>
      <c r="P41" s="75">
        <v>78</v>
      </c>
      <c r="Q41" s="75">
        <f>'2023-2024'!$C41-'2023-2024'!$P41</f>
        <v>7</v>
      </c>
      <c r="R41" s="75">
        <v>8</v>
      </c>
      <c r="S41" s="83">
        <v>59</v>
      </c>
      <c r="T41" s="83">
        <v>1</v>
      </c>
      <c r="U41" s="83">
        <v>9</v>
      </c>
      <c r="V41" s="75">
        <v>133</v>
      </c>
      <c r="W41" s="83">
        <v>682</v>
      </c>
      <c r="X41" s="84">
        <v>661</v>
      </c>
      <c r="Y41" s="83">
        <v>386</v>
      </c>
      <c r="Z41" s="83">
        <v>19852</v>
      </c>
      <c r="AA41" s="83">
        <v>85</v>
      </c>
      <c r="AB41" s="75">
        <v>2703</v>
      </c>
      <c r="AC41" s="83">
        <v>648</v>
      </c>
      <c r="AD41" s="83">
        <v>192</v>
      </c>
      <c r="AE41" s="75">
        <v>148.1</v>
      </c>
      <c r="AF41" s="75">
        <v>44.6</v>
      </c>
      <c r="AG41" s="75">
        <v>17</v>
      </c>
      <c r="AH41" s="75">
        <v>16</v>
      </c>
      <c r="AI41" s="75">
        <v>652</v>
      </c>
      <c r="AJ41" s="75">
        <v>45</v>
      </c>
      <c r="AK41" s="78">
        <f>'2023-2024'!$AI41/'2023-2024'!$AJ41</f>
        <v>14.488888888888889</v>
      </c>
      <c r="AL41" s="86">
        <v>52125</v>
      </c>
      <c r="AM41" s="75">
        <v>0.22</v>
      </c>
      <c r="AN41" s="75">
        <v>1</v>
      </c>
      <c r="AO41" s="75">
        <v>0</v>
      </c>
      <c r="AP41" s="75">
        <v>0</v>
      </c>
      <c r="AQ41" s="75">
        <v>0</v>
      </c>
      <c r="AR41" s="75">
        <v>0</v>
      </c>
      <c r="AS41" s="75" t="s">
        <v>225</v>
      </c>
      <c r="AT41" s="87">
        <f t="shared" si="2"/>
        <v>24</v>
      </c>
    </row>
    <row r="42" spans="1:46" x14ac:dyDescent="0.25">
      <c r="A42" s="81">
        <v>17</v>
      </c>
      <c r="B42" s="82" t="s">
        <v>91</v>
      </c>
      <c r="C42" s="82">
        <v>49</v>
      </c>
      <c r="D42" s="82">
        <v>67</v>
      </c>
      <c r="E42" s="82">
        <f t="shared" si="0"/>
        <v>-18</v>
      </c>
      <c r="F42" s="82">
        <v>4</v>
      </c>
      <c r="G42" s="83">
        <v>82</v>
      </c>
      <c r="H42" s="83">
        <v>3</v>
      </c>
      <c r="I42" s="83">
        <v>49.9</v>
      </c>
      <c r="J42" s="83">
        <v>53.2</v>
      </c>
      <c r="K42" s="82">
        <f t="shared" si="1"/>
        <v>-0.89999999999999858</v>
      </c>
      <c r="L42" s="83">
        <v>450</v>
      </c>
      <c r="M42" s="83">
        <v>143</v>
      </c>
      <c r="N42" s="82">
        <v>1</v>
      </c>
      <c r="O42" s="82">
        <v>12</v>
      </c>
      <c r="P42" s="82">
        <v>40</v>
      </c>
      <c r="Q42" s="82">
        <f>'2023-2024'!$C42-'2023-2024'!$P42</f>
        <v>9</v>
      </c>
      <c r="R42" s="82">
        <v>9</v>
      </c>
      <c r="S42" s="83">
        <v>77</v>
      </c>
      <c r="T42" s="83">
        <v>2</v>
      </c>
      <c r="U42" s="83">
        <v>1</v>
      </c>
      <c r="V42" s="82">
        <v>98</v>
      </c>
      <c r="W42" s="83">
        <v>968</v>
      </c>
      <c r="X42" s="84">
        <v>728</v>
      </c>
      <c r="Y42" s="83">
        <v>428</v>
      </c>
      <c r="Z42" s="83">
        <v>15673</v>
      </c>
      <c r="AA42" s="83">
        <v>53</v>
      </c>
      <c r="AB42" s="82">
        <v>2200</v>
      </c>
      <c r="AC42" s="83">
        <v>595</v>
      </c>
      <c r="AD42" s="83">
        <v>148</v>
      </c>
      <c r="AE42" s="82">
        <v>127.7</v>
      </c>
      <c r="AF42" s="82">
        <v>82.82</v>
      </c>
      <c r="AG42" s="82">
        <v>35</v>
      </c>
      <c r="AH42" s="82">
        <v>41</v>
      </c>
      <c r="AI42" s="82">
        <v>501</v>
      </c>
      <c r="AJ42" s="82">
        <v>46</v>
      </c>
      <c r="AK42" s="85">
        <f>'2023-2024'!$AI42/'2023-2024'!$AJ42</f>
        <v>10.891304347826088</v>
      </c>
      <c r="AL42" s="86">
        <v>29386</v>
      </c>
      <c r="AM42" s="82">
        <v>0.1</v>
      </c>
      <c r="AN42" s="82">
        <v>0</v>
      </c>
      <c r="AO42" s="82">
        <v>0</v>
      </c>
      <c r="AP42" s="82">
        <v>0</v>
      </c>
      <c r="AQ42" s="82">
        <v>0</v>
      </c>
      <c r="AR42" s="82">
        <v>0</v>
      </c>
      <c r="AS42" s="82" t="s">
        <v>235</v>
      </c>
      <c r="AT42" s="87">
        <f t="shared" si="2"/>
        <v>24</v>
      </c>
    </row>
    <row r="43" spans="1:46" x14ac:dyDescent="0.25">
      <c r="A43" s="74">
        <v>20</v>
      </c>
      <c r="B43" s="75" t="s">
        <v>29</v>
      </c>
      <c r="C43" s="75">
        <v>35</v>
      </c>
      <c r="D43" s="75">
        <v>104</v>
      </c>
      <c r="E43" s="75">
        <f t="shared" si="0"/>
        <v>-69</v>
      </c>
      <c r="F43" s="75">
        <v>1</v>
      </c>
      <c r="G43" s="83">
        <v>101</v>
      </c>
      <c r="H43" s="83">
        <v>5</v>
      </c>
      <c r="I43" s="89">
        <v>38.299999999999997</v>
      </c>
      <c r="J43" s="89">
        <v>76.7</v>
      </c>
      <c r="K43" s="75">
        <f t="shared" si="1"/>
        <v>-3.2999999999999972</v>
      </c>
      <c r="L43" s="83">
        <v>360</v>
      </c>
      <c r="M43" s="83">
        <v>117</v>
      </c>
      <c r="N43" s="75">
        <v>5</v>
      </c>
      <c r="O43" s="75">
        <v>3</v>
      </c>
      <c r="P43" s="75">
        <v>32</v>
      </c>
      <c r="Q43" s="75">
        <f>'2023-2024'!$C43-'2023-2024'!$P43</f>
        <v>3</v>
      </c>
      <c r="R43" s="75">
        <v>2</v>
      </c>
      <c r="S43" s="83">
        <v>64</v>
      </c>
      <c r="T43" s="83">
        <v>7</v>
      </c>
      <c r="U43" s="83">
        <v>3</v>
      </c>
      <c r="V43" s="75">
        <v>166</v>
      </c>
      <c r="W43" s="83">
        <v>1042</v>
      </c>
      <c r="X43" s="84">
        <v>709</v>
      </c>
      <c r="Y43" s="83">
        <v>423</v>
      </c>
      <c r="Z43" s="83">
        <v>13498</v>
      </c>
      <c r="AA43" s="83">
        <v>25</v>
      </c>
      <c r="AB43" s="75">
        <v>1922</v>
      </c>
      <c r="AC43" s="83">
        <v>428</v>
      </c>
      <c r="AD43" s="83">
        <v>141</v>
      </c>
      <c r="AE43" s="75">
        <v>66.95</v>
      </c>
      <c r="AF43" s="75">
        <v>30.9</v>
      </c>
      <c r="AG43" s="75">
        <v>18</v>
      </c>
      <c r="AH43" s="75">
        <v>15</v>
      </c>
      <c r="AI43" s="75">
        <v>152</v>
      </c>
      <c r="AJ43" s="75">
        <v>45</v>
      </c>
      <c r="AK43" s="78">
        <f>'2023-2024'!$AI43/'2023-2024'!$AJ43</f>
        <v>3.3777777777777778</v>
      </c>
      <c r="AL43" s="91">
        <v>30011</v>
      </c>
      <c r="AM43" s="75">
        <v>0</v>
      </c>
      <c r="AN43" s="75">
        <v>0</v>
      </c>
      <c r="AO43" s="75">
        <v>1</v>
      </c>
      <c r="AP43" s="75">
        <v>0</v>
      </c>
      <c r="AQ43" s="75">
        <v>1</v>
      </c>
      <c r="AR43" s="75">
        <v>0</v>
      </c>
      <c r="AS43" s="75" t="s">
        <v>238</v>
      </c>
      <c r="AT43" s="87">
        <f t="shared" si="2"/>
        <v>24</v>
      </c>
    </row>
    <row r="44" spans="1:46" x14ac:dyDescent="0.25">
      <c r="A44" s="81">
        <v>5</v>
      </c>
      <c r="B44" s="82" t="s">
        <v>3</v>
      </c>
      <c r="C44" s="82">
        <v>74</v>
      </c>
      <c r="D44" s="82">
        <v>61</v>
      </c>
      <c r="E44" s="82">
        <f t="shared" si="0"/>
        <v>13</v>
      </c>
      <c r="F44" s="82">
        <v>7</v>
      </c>
      <c r="G44" s="89">
        <v>92</v>
      </c>
      <c r="H44" s="89">
        <v>4</v>
      </c>
      <c r="I44" s="83">
        <v>68.2</v>
      </c>
      <c r="J44" s="83">
        <v>63.4</v>
      </c>
      <c r="K44" s="82">
        <f t="shared" si="1"/>
        <v>5.7999999999999972</v>
      </c>
      <c r="L44" s="83">
        <v>582</v>
      </c>
      <c r="M44" s="83">
        <v>207</v>
      </c>
      <c r="N44" s="82">
        <v>2</v>
      </c>
      <c r="O44" s="82">
        <v>8</v>
      </c>
      <c r="P44" s="82">
        <v>67</v>
      </c>
      <c r="Q44" s="82">
        <f>'2023-2024'!$C44-'2023-2024'!$P44</f>
        <v>7</v>
      </c>
      <c r="R44" s="82">
        <v>3</v>
      </c>
      <c r="S44" s="83">
        <v>83</v>
      </c>
      <c r="T44" s="83">
        <v>3</v>
      </c>
      <c r="U44" s="83">
        <v>2</v>
      </c>
      <c r="V44" s="82">
        <v>109</v>
      </c>
      <c r="W44" s="83">
        <v>707</v>
      </c>
      <c r="X44" s="84">
        <v>724</v>
      </c>
      <c r="Y44" s="83">
        <v>425</v>
      </c>
      <c r="Z44" s="83">
        <v>24197</v>
      </c>
      <c r="AA44" s="83">
        <v>91</v>
      </c>
      <c r="AB44" s="82">
        <v>3621</v>
      </c>
      <c r="AC44" s="83">
        <v>710</v>
      </c>
      <c r="AD44" s="83">
        <v>234</v>
      </c>
      <c r="AE44" s="82">
        <v>272.10000000000002</v>
      </c>
      <c r="AF44" s="82">
        <v>120.7</v>
      </c>
      <c r="AG44" s="82">
        <v>26</v>
      </c>
      <c r="AH44" s="82">
        <v>21</v>
      </c>
      <c r="AI44" s="82">
        <v>838</v>
      </c>
      <c r="AJ44" s="82">
        <v>41</v>
      </c>
      <c r="AK44" s="85">
        <f>'2023-2024'!$AI44/'2023-2024'!$AJ44</f>
        <v>20.439024390243901</v>
      </c>
      <c r="AL44" s="86">
        <v>61482</v>
      </c>
      <c r="AM44" s="82">
        <v>0.08</v>
      </c>
      <c r="AN44" s="82">
        <v>0</v>
      </c>
      <c r="AO44" s="82">
        <v>0</v>
      </c>
      <c r="AP44" s="82">
        <v>0</v>
      </c>
      <c r="AQ44" s="82">
        <v>0</v>
      </c>
      <c r="AR44" s="82">
        <v>1</v>
      </c>
      <c r="AS44" s="82" t="s">
        <v>223</v>
      </c>
      <c r="AT44" s="87">
        <f t="shared" si="2"/>
        <v>24</v>
      </c>
    </row>
    <row r="45" spans="1:46" x14ac:dyDescent="0.25">
      <c r="A45" s="74">
        <v>9</v>
      </c>
      <c r="B45" s="75" t="s">
        <v>5</v>
      </c>
      <c r="C45" s="75">
        <v>60</v>
      </c>
      <c r="D45" s="75">
        <v>74</v>
      </c>
      <c r="E45" s="75">
        <f t="shared" si="0"/>
        <v>-14</v>
      </c>
      <c r="F45" s="75">
        <v>5</v>
      </c>
      <c r="G45" s="83">
        <v>82</v>
      </c>
      <c r="H45" s="83">
        <v>3</v>
      </c>
      <c r="I45" s="83">
        <v>52.3</v>
      </c>
      <c r="J45" s="83">
        <v>71.099999999999994</v>
      </c>
      <c r="K45" s="75">
        <f t="shared" si="1"/>
        <v>7.7000000000000028</v>
      </c>
      <c r="L45" s="83">
        <v>445</v>
      </c>
      <c r="M45" s="83">
        <v>146</v>
      </c>
      <c r="N45" s="75">
        <v>4</v>
      </c>
      <c r="O45" s="75">
        <v>14</v>
      </c>
      <c r="P45" s="75">
        <v>52</v>
      </c>
      <c r="Q45" s="75">
        <f>'2023-2024'!$C45-'2023-2024'!$P45</f>
        <v>8</v>
      </c>
      <c r="R45" s="75">
        <v>9</v>
      </c>
      <c r="S45" s="83">
        <v>71</v>
      </c>
      <c r="T45" s="83">
        <v>4</v>
      </c>
      <c r="U45" s="83">
        <v>4</v>
      </c>
      <c r="V45" s="75">
        <v>169</v>
      </c>
      <c r="W45" s="83">
        <v>906</v>
      </c>
      <c r="X45" s="84">
        <v>684</v>
      </c>
      <c r="Y45" s="83">
        <v>390</v>
      </c>
      <c r="Z45" s="83">
        <v>16373</v>
      </c>
      <c r="AA45" s="83">
        <v>60</v>
      </c>
      <c r="AB45" s="75">
        <v>2413</v>
      </c>
      <c r="AC45" s="83">
        <v>661</v>
      </c>
      <c r="AD45" s="83">
        <v>165</v>
      </c>
      <c r="AE45" s="75">
        <v>144.56</v>
      </c>
      <c r="AF45" s="75">
        <v>170.46</v>
      </c>
      <c r="AG45" s="75">
        <v>10</v>
      </c>
      <c r="AH45" s="75">
        <v>11</v>
      </c>
      <c r="AI45" s="75">
        <v>487</v>
      </c>
      <c r="AJ45" s="75">
        <v>36</v>
      </c>
      <c r="AK45" s="78">
        <f>'2023-2024'!$AI45/'2023-2024'!$AJ45</f>
        <v>13.527777777777779</v>
      </c>
      <c r="AL45" s="86">
        <v>62567</v>
      </c>
      <c r="AM45" s="75">
        <v>0.14000000000000001</v>
      </c>
      <c r="AN45" s="75">
        <v>0</v>
      </c>
      <c r="AO45" s="75">
        <v>0</v>
      </c>
      <c r="AP45" s="75">
        <v>0</v>
      </c>
      <c r="AQ45" s="75">
        <v>0</v>
      </c>
      <c r="AR45" s="75">
        <v>0</v>
      </c>
      <c r="AS45" s="75" t="s">
        <v>227</v>
      </c>
      <c r="AT45" s="87">
        <f t="shared" si="2"/>
        <v>24</v>
      </c>
    </row>
    <row r="46" spans="1:46" x14ac:dyDescent="0.25">
      <c r="A46" s="29">
        <v>14</v>
      </c>
      <c r="B46" s="30" t="s">
        <v>16</v>
      </c>
      <c r="C46" s="30">
        <v>50</v>
      </c>
      <c r="D46" s="30">
        <v>65</v>
      </c>
      <c r="E46" s="30">
        <f t="shared" si="0"/>
        <v>-15</v>
      </c>
      <c r="F46" s="30">
        <v>5</v>
      </c>
      <c r="G46" s="92">
        <v>102</v>
      </c>
      <c r="H46" s="92">
        <v>4</v>
      </c>
      <c r="I46" s="92">
        <v>46.7</v>
      </c>
      <c r="J46" s="92">
        <v>67.7</v>
      </c>
      <c r="K46" s="30">
        <f t="shared" si="1"/>
        <v>3.2999999999999972</v>
      </c>
      <c r="L46" s="93">
        <v>425</v>
      </c>
      <c r="M46" s="93">
        <v>153</v>
      </c>
      <c r="N46" s="30">
        <v>4</v>
      </c>
      <c r="O46" s="30">
        <v>11</v>
      </c>
      <c r="P46" s="30">
        <v>50</v>
      </c>
      <c r="Q46" s="30">
        <f>'2023-2024'!$C46-'2023-2024'!$P46</f>
        <v>0</v>
      </c>
      <c r="R46" s="30">
        <v>3</v>
      </c>
      <c r="S46" s="94">
        <v>78</v>
      </c>
      <c r="T46" s="94">
        <v>1</v>
      </c>
      <c r="U46" s="94">
        <v>4</v>
      </c>
      <c r="V46" s="30">
        <v>139</v>
      </c>
      <c r="W46" s="92">
        <v>828</v>
      </c>
      <c r="X46" s="95">
        <v>739</v>
      </c>
      <c r="Y46" s="94">
        <v>476</v>
      </c>
      <c r="Z46" s="92">
        <v>19175</v>
      </c>
      <c r="AA46" s="92">
        <v>49</v>
      </c>
      <c r="AB46" s="30">
        <v>2953</v>
      </c>
      <c r="AC46" s="92">
        <v>578</v>
      </c>
      <c r="AD46" s="92">
        <v>156</v>
      </c>
      <c r="AE46" s="30">
        <v>94</v>
      </c>
      <c r="AF46" s="30">
        <v>169.2</v>
      </c>
      <c r="AG46" s="30">
        <v>25</v>
      </c>
      <c r="AH46" s="30">
        <v>31</v>
      </c>
      <c r="AI46" s="30">
        <v>443</v>
      </c>
      <c r="AJ46" s="30">
        <v>47</v>
      </c>
      <c r="AK46" s="96">
        <f>'2023-2024'!$AI46/'2023-2024'!$AJ46</f>
        <v>9.4255319148936163</v>
      </c>
      <c r="AL46" s="97">
        <v>31029</v>
      </c>
      <c r="AM46" s="30">
        <v>0.06</v>
      </c>
      <c r="AN46" s="30">
        <v>0</v>
      </c>
      <c r="AO46" s="30">
        <v>0</v>
      </c>
      <c r="AP46" s="30">
        <v>0</v>
      </c>
      <c r="AQ46" s="30">
        <v>0</v>
      </c>
      <c r="AR46" s="30">
        <v>0</v>
      </c>
      <c r="AS46" s="30" t="s">
        <v>232</v>
      </c>
      <c r="AT46" s="87">
        <f t="shared" si="2"/>
        <v>24</v>
      </c>
    </row>
    <row r="53" spans="1:32" ht="16.5" thickBot="1" x14ac:dyDescent="0.3"/>
    <row r="54" spans="1:32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1"/>
    </row>
    <row r="55" spans="1:32" ht="16.5" thickBot="1" x14ac:dyDescent="0.3">
      <c r="A55" s="104" t="s">
        <v>239</v>
      </c>
      <c r="B55" s="104"/>
      <c r="C55" s="104"/>
      <c r="D55" s="105"/>
      <c r="E55" s="106" t="s">
        <v>240</v>
      </c>
      <c r="F55" s="104"/>
      <c r="G55" s="104"/>
      <c r="H55" s="104"/>
      <c r="I55" s="104"/>
      <c r="J55" s="104"/>
      <c r="K55" s="104"/>
      <c r="L55" s="105"/>
      <c r="M55" s="106" t="s">
        <v>241</v>
      </c>
      <c r="N55" s="104"/>
      <c r="O55" s="104"/>
      <c r="P55" s="105"/>
      <c r="Q55" s="106" t="s">
        <v>242</v>
      </c>
      <c r="R55" s="105"/>
      <c r="S55" s="106" t="s">
        <v>243</v>
      </c>
      <c r="T55" s="104"/>
      <c r="U55" s="104"/>
      <c r="V55" s="104"/>
      <c r="W55" s="104"/>
      <c r="X55" s="104"/>
      <c r="Y55" s="104"/>
      <c r="Z55" s="104"/>
      <c r="AA55" s="104"/>
      <c r="AB55" s="104"/>
      <c r="AC55" s="16"/>
      <c r="AD55" s="16"/>
      <c r="AE55" s="16"/>
      <c r="AF55" s="28"/>
    </row>
    <row r="56" spans="1:32" ht="16.5" thickBot="1" x14ac:dyDescent="0.3">
      <c r="A56" s="39" t="s">
        <v>244</v>
      </c>
      <c r="B56" s="33" t="s">
        <v>245</v>
      </c>
      <c r="C56" s="33" t="s">
        <v>246</v>
      </c>
      <c r="D56" s="33" t="s">
        <v>247</v>
      </c>
      <c r="E56" s="32" t="s">
        <v>248</v>
      </c>
      <c r="F56" s="33" t="s">
        <v>249</v>
      </c>
      <c r="G56" s="33" t="s">
        <v>250</v>
      </c>
      <c r="H56" s="33" t="s">
        <v>251</v>
      </c>
      <c r="I56" s="32" t="s">
        <v>252</v>
      </c>
      <c r="J56" s="33" t="s">
        <v>253</v>
      </c>
      <c r="K56" s="33" t="s">
        <v>254</v>
      </c>
      <c r="L56" s="33" t="s">
        <v>255</v>
      </c>
      <c r="M56" s="33" t="s">
        <v>256</v>
      </c>
      <c r="N56" s="33" t="s">
        <v>257</v>
      </c>
      <c r="O56" s="33" t="s">
        <v>258</v>
      </c>
      <c r="P56" s="33" t="s">
        <v>259</v>
      </c>
      <c r="Q56" s="32" t="s">
        <v>260</v>
      </c>
      <c r="R56" s="33" t="s">
        <v>261</v>
      </c>
      <c r="S56" s="33" t="s">
        <v>262</v>
      </c>
      <c r="T56" s="33" t="s">
        <v>263</v>
      </c>
      <c r="U56" s="32" t="s">
        <v>264</v>
      </c>
      <c r="V56" s="33" t="s">
        <v>265</v>
      </c>
      <c r="W56" s="32" t="s">
        <v>252</v>
      </c>
      <c r="X56" s="33" t="s">
        <v>253</v>
      </c>
      <c r="Y56" s="33" t="s">
        <v>254</v>
      </c>
      <c r="Z56" s="33" t="s">
        <v>255</v>
      </c>
      <c r="AA56" s="33" t="s">
        <v>266</v>
      </c>
      <c r="AB56" s="32" t="s">
        <v>260</v>
      </c>
      <c r="AC56" s="33" t="s">
        <v>262</v>
      </c>
      <c r="AD56" s="33" t="s">
        <v>267</v>
      </c>
      <c r="AE56" s="33" t="s">
        <v>261</v>
      </c>
      <c r="AF56" s="40" t="s">
        <v>263</v>
      </c>
    </row>
    <row r="57" spans="1:32" ht="16.5" thickBot="1" x14ac:dyDescent="0.3">
      <c r="A57" s="41" t="s">
        <v>6</v>
      </c>
      <c r="B57" s="10">
        <v>25</v>
      </c>
      <c r="C57" s="34">
        <v>25</v>
      </c>
      <c r="D57" s="34">
        <v>58.2</v>
      </c>
      <c r="E57" s="35">
        <v>38</v>
      </c>
      <c r="F57" s="10">
        <v>418</v>
      </c>
      <c r="G57" s="2">
        <v>3420</v>
      </c>
      <c r="H57" s="10">
        <v>38</v>
      </c>
      <c r="I57" s="35">
        <v>86</v>
      </c>
      <c r="J57" s="10">
        <v>62</v>
      </c>
      <c r="K57" s="10">
        <v>148</v>
      </c>
      <c r="L57" s="10">
        <v>76</v>
      </c>
      <c r="M57" s="10">
        <v>10</v>
      </c>
      <c r="N57" s="10">
        <v>10</v>
      </c>
      <c r="O57" s="10">
        <v>64</v>
      </c>
      <c r="P57" s="10">
        <v>2</v>
      </c>
      <c r="Q57" s="35">
        <v>76.099999999999994</v>
      </c>
      <c r="R57" s="10">
        <v>68.5</v>
      </c>
      <c r="S57" s="10">
        <v>55.3</v>
      </c>
      <c r="T57" s="10">
        <v>123.8</v>
      </c>
      <c r="U57" s="35">
        <v>821</v>
      </c>
      <c r="V57" s="10">
        <v>2106</v>
      </c>
      <c r="W57" s="35">
        <v>2.2599999999999998</v>
      </c>
      <c r="X57" s="10">
        <v>1.63</v>
      </c>
      <c r="Y57" s="10">
        <v>3.89</v>
      </c>
      <c r="Z57" s="10">
        <v>2</v>
      </c>
      <c r="AA57" s="10">
        <v>3.63</v>
      </c>
      <c r="AB57" s="35">
        <v>2</v>
      </c>
      <c r="AC57" s="10">
        <v>1.46</v>
      </c>
      <c r="AD57" s="10">
        <v>3.46</v>
      </c>
      <c r="AE57" s="10">
        <v>1.8</v>
      </c>
      <c r="AF57" s="42">
        <v>3.26</v>
      </c>
    </row>
    <row r="58" spans="1:32" ht="16.5" thickBot="1" x14ac:dyDescent="0.3">
      <c r="A58" s="41" t="s">
        <v>8</v>
      </c>
      <c r="B58" s="10">
        <v>31</v>
      </c>
      <c r="C58" s="34">
        <v>26.9</v>
      </c>
      <c r="D58" s="34">
        <v>53.1</v>
      </c>
      <c r="E58" s="35">
        <v>38</v>
      </c>
      <c r="F58" s="10">
        <v>418</v>
      </c>
      <c r="G58" s="2">
        <v>3420</v>
      </c>
      <c r="H58" s="10">
        <v>38</v>
      </c>
      <c r="I58" s="35">
        <v>72</v>
      </c>
      <c r="J58" s="10">
        <v>55</v>
      </c>
      <c r="K58" s="10">
        <v>127</v>
      </c>
      <c r="L58" s="10">
        <v>68</v>
      </c>
      <c r="M58" s="10">
        <v>4</v>
      </c>
      <c r="N58" s="10">
        <v>4</v>
      </c>
      <c r="O58" s="10">
        <v>94</v>
      </c>
      <c r="P58" s="10">
        <v>2</v>
      </c>
      <c r="Q58" s="35">
        <v>63.3</v>
      </c>
      <c r="R58" s="10">
        <v>60.3</v>
      </c>
      <c r="S58" s="10">
        <v>48.6</v>
      </c>
      <c r="T58" s="10">
        <v>108.9</v>
      </c>
      <c r="U58" s="35">
        <v>775</v>
      </c>
      <c r="V58" s="10">
        <v>1451</v>
      </c>
      <c r="W58" s="35">
        <v>1.89</v>
      </c>
      <c r="X58" s="10">
        <v>1.45</v>
      </c>
      <c r="Y58" s="10">
        <v>3.34</v>
      </c>
      <c r="Z58" s="10">
        <v>1.79</v>
      </c>
      <c r="AA58" s="10">
        <v>3.24</v>
      </c>
      <c r="AB58" s="35">
        <v>1.67</v>
      </c>
      <c r="AC58" s="10">
        <v>1.28</v>
      </c>
      <c r="AD58" s="10">
        <v>2.95</v>
      </c>
      <c r="AE58" s="10">
        <v>1.59</v>
      </c>
      <c r="AF58" s="42">
        <v>2.87</v>
      </c>
    </row>
    <row r="59" spans="1:32" ht="16.5" thickBot="1" x14ac:dyDescent="0.3">
      <c r="A59" s="41" t="s">
        <v>85</v>
      </c>
      <c r="B59" s="10">
        <v>30</v>
      </c>
      <c r="C59" s="34">
        <v>25.7</v>
      </c>
      <c r="D59" s="34">
        <v>44.4</v>
      </c>
      <c r="E59" s="35">
        <v>38</v>
      </c>
      <c r="F59" s="10">
        <v>418</v>
      </c>
      <c r="G59" s="2">
        <v>3420</v>
      </c>
      <c r="H59" s="10">
        <v>38</v>
      </c>
      <c r="I59" s="35">
        <v>52</v>
      </c>
      <c r="J59" s="10">
        <v>39</v>
      </c>
      <c r="K59" s="10">
        <v>91</v>
      </c>
      <c r="L59" s="10">
        <v>50</v>
      </c>
      <c r="M59" s="10">
        <v>2</v>
      </c>
      <c r="N59" s="10">
        <v>3</v>
      </c>
      <c r="O59" s="10">
        <v>79</v>
      </c>
      <c r="P59" s="10">
        <v>3</v>
      </c>
      <c r="Q59" s="35">
        <v>55.9</v>
      </c>
      <c r="R59" s="10">
        <v>53.6</v>
      </c>
      <c r="S59" s="10">
        <v>40.5</v>
      </c>
      <c r="T59" s="10">
        <v>94</v>
      </c>
      <c r="U59" s="35">
        <v>709</v>
      </c>
      <c r="V59" s="10">
        <v>1314</v>
      </c>
      <c r="W59" s="35">
        <v>1.37</v>
      </c>
      <c r="X59" s="10">
        <v>1.03</v>
      </c>
      <c r="Y59" s="10">
        <v>2.39</v>
      </c>
      <c r="Z59" s="10">
        <v>1.32</v>
      </c>
      <c r="AA59" s="10">
        <v>2.34</v>
      </c>
      <c r="AB59" s="35">
        <v>1.47</v>
      </c>
      <c r="AC59" s="10">
        <v>1.06</v>
      </c>
      <c r="AD59" s="10">
        <v>2.54</v>
      </c>
      <c r="AE59" s="10">
        <v>1.41</v>
      </c>
      <c r="AF59" s="42">
        <v>2.4700000000000002</v>
      </c>
    </row>
    <row r="60" spans="1:32" ht="16.5" thickBot="1" x14ac:dyDescent="0.3">
      <c r="A60" s="41" t="s">
        <v>10</v>
      </c>
      <c r="B60" s="10">
        <v>28</v>
      </c>
      <c r="C60" s="34">
        <v>26.6</v>
      </c>
      <c r="D60" s="34">
        <v>45.2</v>
      </c>
      <c r="E60" s="35">
        <v>38</v>
      </c>
      <c r="F60" s="10">
        <v>418</v>
      </c>
      <c r="G60" s="2">
        <v>3420</v>
      </c>
      <c r="H60" s="10">
        <v>38</v>
      </c>
      <c r="I60" s="35">
        <v>54</v>
      </c>
      <c r="J60" s="10">
        <v>38</v>
      </c>
      <c r="K60" s="10">
        <v>92</v>
      </c>
      <c r="L60" s="10">
        <v>51</v>
      </c>
      <c r="M60" s="10">
        <v>3</v>
      </c>
      <c r="N60" s="10">
        <v>3</v>
      </c>
      <c r="O60" s="10">
        <v>89</v>
      </c>
      <c r="P60" s="10">
        <v>2</v>
      </c>
      <c r="Q60" s="35">
        <v>58.2</v>
      </c>
      <c r="R60" s="10">
        <v>56</v>
      </c>
      <c r="S60" s="10">
        <v>42.7</v>
      </c>
      <c r="T60" s="10">
        <v>98.8</v>
      </c>
      <c r="U60" s="35">
        <v>505</v>
      </c>
      <c r="V60" s="10">
        <v>1283</v>
      </c>
      <c r="W60" s="35">
        <v>1.42</v>
      </c>
      <c r="X60" s="10">
        <v>1</v>
      </c>
      <c r="Y60" s="10">
        <v>2.42</v>
      </c>
      <c r="Z60" s="10">
        <v>1.34</v>
      </c>
      <c r="AA60" s="10">
        <v>2.34</v>
      </c>
      <c r="AB60" s="35">
        <v>1.53</v>
      </c>
      <c r="AC60" s="10">
        <v>1.1200000000000001</v>
      </c>
      <c r="AD60" s="10">
        <v>2.66</v>
      </c>
      <c r="AE60" s="10">
        <v>1.47</v>
      </c>
      <c r="AF60" s="42">
        <v>2.6</v>
      </c>
    </row>
    <row r="61" spans="1:32" ht="16.5" thickBot="1" x14ac:dyDescent="0.3">
      <c r="A61" s="41" t="s">
        <v>152</v>
      </c>
      <c r="B61" s="10">
        <v>30</v>
      </c>
      <c r="C61" s="34">
        <v>25.9</v>
      </c>
      <c r="D61" s="34">
        <v>59.8</v>
      </c>
      <c r="E61" s="35">
        <v>38</v>
      </c>
      <c r="F61" s="10">
        <v>418</v>
      </c>
      <c r="G61" s="2">
        <v>3420</v>
      </c>
      <c r="H61" s="10">
        <v>38</v>
      </c>
      <c r="I61" s="35">
        <v>50</v>
      </c>
      <c r="J61" s="10">
        <v>36</v>
      </c>
      <c r="K61" s="10">
        <v>86</v>
      </c>
      <c r="L61" s="10">
        <v>45</v>
      </c>
      <c r="M61" s="10">
        <v>5</v>
      </c>
      <c r="N61" s="10">
        <v>6</v>
      </c>
      <c r="O61" s="10">
        <v>90</v>
      </c>
      <c r="P61" s="10">
        <v>3</v>
      </c>
      <c r="Q61" s="35">
        <v>56.8</v>
      </c>
      <c r="R61" s="10">
        <v>52.2</v>
      </c>
      <c r="S61" s="10">
        <v>41.6</v>
      </c>
      <c r="T61" s="10">
        <v>93.8</v>
      </c>
      <c r="U61" s="35">
        <v>864</v>
      </c>
      <c r="V61" s="10">
        <v>1780</v>
      </c>
      <c r="W61" s="35">
        <v>1.32</v>
      </c>
      <c r="X61" s="10">
        <v>0.95</v>
      </c>
      <c r="Y61" s="10">
        <v>2.2599999999999998</v>
      </c>
      <c r="Z61" s="10">
        <v>1.18</v>
      </c>
      <c r="AA61" s="10">
        <v>2.13</v>
      </c>
      <c r="AB61" s="35">
        <v>1.49</v>
      </c>
      <c r="AC61" s="10">
        <v>1.0900000000000001</v>
      </c>
      <c r="AD61" s="10">
        <v>2.59</v>
      </c>
      <c r="AE61" s="10">
        <v>1.37</v>
      </c>
      <c r="AF61" s="42">
        <v>2.4700000000000002</v>
      </c>
    </row>
    <row r="62" spans="1:32" ht="16.5" thickBot="1" x14ac:dyDescent="0.3">
      <c r="A62" s="41" t="s">
        <v>17</v>
      </c>
      <c r="B62" s="10">
        <v>31</v>
      </c>
      <c r="C62" s="34">
        <v>24.5</v>
      </c>
      <c r="D62" s="34">
        <v>47.4</v>
      </c>
      <c r="E62" s="35">
        <v>38</v>
      </c>
      <c r="F62" s="10">
        <v>418</v>
      </c>
      <c r="G62" s="2">
        <v>3420</v>
      </c>
      <c r="H62" s="10">
        <v>38</v>
      </c>
      <c r="I62" s="35">
        <v>40</v>
      </c>
      <c r="J62" s="10">
        <v>30</v>
      </c>
      <c r="K62" s="10">
        <v>70</v>
      </c>
      <c r="L62" s="10">
        <v>37</v>
      </c>
      <c r="M62" s="10">
        <v>3</v>
      </c>
      <c r="N62" s="10">
        <v>3</v>
      </c>
      <c r="O62" s="10">
        <v>77</v>
      </c>
      <c r="P62" s="10">
        <v>7</v>
      </c>
      <c r="Q62" s="35">
        <v>40.6</v>
      </c>
      <c r="R62" s="10">
        <v>38.299999999999997</v>
      </c>
      <c r="S62" s="10">
        <v>29.7</v>
      </c>
      <c r="T62" s="10">
        <v>68</v>
      </c>
      <c r="U62" s="35">
        <v>727</v>
      </c>
      <c r="V62" s="10">
        <v>1181</v>
      </c>
      <c r="W62" s="35">
        <v>1.05</v>
      </c>
      <c r="X62" s="10">
        <v>0.79</v>
      </c>
      <c r="Y62" s="10">
        <v>1.84</v>
      </c>
      <c r="Z62" s="10">
        <v>0.97</v>
      </c>
      <c r="AA62" s="10">
        <v>1.76</v>
      </c>
      <c r="AB62" s="35">
        <v>1.07</v>
      </c>
      <c r="AC62" s="10">
        <v>0.78</v>
      </c>
      <c r="AD62" s="10">
        <v>1.85</v>
      </c>
      <c r="AE62" s="10">
        <v>1.01</v>
      </c>
      <c r="AF62" s="42">
        <v>1.79</v>
      </c>
    </row>
    <row r="63" spans="1:32" ht="16.5" thickBot="1" x14ac:dyDescent="0.3">
      <c r="A63" s="41" t="s">
        <v>2</v>
      </c>
      <c r="B63" s="10">
        <v>32</v>
      </c>
      <c r="C63" s="34">
        <v>24.2</v>
      </c>
      <c r="D63" s="34">
        <v>58.6</v>
      </c>
      <c r="E63" s="35">
        <v>38</v>
      </c>
      <c r="F63" s="10">
        <v>418</v>
      </c>
      <c r="G63" s="2">
        <v>3420</v>
      </c>
      <c r="H63" s="10">
        <v>38</v>
      </c>
      <c r="I63" s="35">
        <v>76</v>
      </c>
      <c r="J63" s="10">
        <v>51</v>
      </c>
      <c r="K63" s="10">
        <v>127</v>
      </c>
      <c r="L63" s="10">
        <v>65</v>
      </c>
      <c r="M63" s="10">
        <v>11</v>
      </c>
      <c r="N63" s="10">
        <v>12</v>
      </c>
      <c r="O63" s="10">
        <v>109</v>
      </c>
      <c r="P63" s="10">
        <v>4</v>
      </c>
      <c r="Q63" s="35">
        <v>74.5</v>
      </c>
      <c r="R63" s="10">
        <v>65.099999999999994</v>
      </c>
      <c r="S63" s="10">
        <v>51.4</v>
      </c>
      <c r="T63" s="10">
        <v>116.5</v>
      </c>
      <c r="U63" s="35">
        <v>873</v>
      </c>
      <c r="V63" s="10">
        <v>1615</v>
      </c>
      <c r="W63" s="35">
        <v>2</v>
      </c>
      <c r="X63" s="10">
        <v>1.34</v>
      </c>
      <c r="Y63" s="10">
        <v>3.34</v>
      </c>
      <c r="Z63" s="10">
        <v>1.71</v>
      </c>
      <c r="AA63" s="10">
        <v>3.05</v>
      </c>
      <c r="AB63" s="35">
        <v>1.96</v>
      </c>
      <c r="AC63" s="10">
        <v>1.35</v>
      </c>
      <c r="AD63" s="10">
        <v>3.31</v>
      </c>
      <c r="AE63" s="10">
        <v>1.71</v>
      </c>
      <c r="AF63" s="42">
        <v>3.06</v>
      </c>
    </row>
    <row r="64" spans="1:32" ht="16.5" thickBot="1" x14ac:dyDescent="0.3">
      <c r="A64" s="41" t="s">
        <v>9</v>
      </c>
      <c r="B64" s="10">
        <v>26</v>
      </c>
      <c r="C64" s="34">
        <v>26.7</v>
      </c>
      <c r="D64" s="34">
        <v>42.3</v>
      </c>
      <c r="E64" s="35">
        <v>38</v>
      </c>
      <c r="F64" s="10">
        <v>418</v>
      </c>
      <c r="G64" s="2">
        <v>3420</v>
      </c>
      <c r="H64" s="10">
        <v>38</v>
      </c>
      <c r="I64" s="35">
        <v>56</v>
      </c>
      <c r="J64" s="10">
        <v>43</v>
      </c>
      <c r="K64" s="10">
        <v>99</v>
      </c>
      <c r="L64" s="10">
        <v>52</v>
      </c>
      <c r="M64" s="10">
        <v>4</v>
      </c>
      <c r="N64" s="10">
        <v>4</v>
      </c>
      <c r="O64" s="10">
        <v>73</v>
      </c>
      <c r="P64" s="10">
        <v>2</v>
      </c>
      <c r="Q64" s="35">
        <v>48.6</v>
      </c>
      <c r="R64" s="10">
        <v>45.4</v>
      </c>
      <c r="S64" s="10">
        <v>38.700000000000003</v>
      </c>
      <c r="T64" s="10">
        <v>84.1</v>
      </c>
      <c r="U64" s="35">
        <v>506</v>
      </c>
      <c r="V64" s="10">
        <v>1176</v>
      </c>
      <c r="W64" s="35">
        <v>1.47</v>
      </c>
      <c r="X64" s="10">
        <v>1.1299999999999999</v>
      </c>
      <c r="Y64" s="10">
        <v>2.61</v>
      </c>
      <c r="Z64" s="10">
        <v>1.37</v>
      </c>
      <c r="AA64" s="10">
        <v>2.5</v>
      </c>
      <c r="AB64" s="35">
        <v>1.28</v>
      </c>
      <c r="AC64" s="10">
        <v>1.02</v>
      </c>
      <c r="AD64" s="10">
        <v>2.2999999999999998</v>
      </c>
      <c r="AE64" s="10">
        <v>1.2</v>
      </c>
      <c r="AF64" s="42">
        <v>2.21</v>
      </c>
    </row>
    <row r="65" spans="1:32" ht="16.5" thickBot="1" x14ac:dyDescent="0.3">
      <c r="A65" s="41" t="s">
        <v>15</v>
      </c>
      <c r="B65" s="10">
        <v>26</v>
      </c>
      <c r="C65" s="34">
        <v>27.1</v>
      </c>
      <c r="D65" s="34">
        <v>40.799999999999997</v>
      </c>
      <c r="E65" s="35">
        <v>38</v>
      </c>
      <c r="F65" s="10">
        <v>418</v>
      </c>
      <c r="G65" s="2">
        <v>3420</v>
      </c>
      <c r="H65" s="10">
        <v>38</v>
      </c>
      <c r="I65" s="35">
        <v>40</v>
      </c>
      <c r="J65" s="10">
        <v>17</v>
      </c>
      <c r="K65" s="10">
        <v>57</v>
      </c>
      <c r="L65" s="10">
        <v>38</v>
      </c>
      <c r="M65" s="10">
        <v>2</v>
      </c>
      <c r="N65" s="10">
        <v>3</v>
      </c>
      <c r="O65" s="10">
        <v>82</v>
      </c>
      <c r="P65" s="10">
        <v>1</v>
      </c>
      <c r="Q65" s="35">
        <v>54</v>
      </c>
      <c r="R65" s="10">
        <v>51.6</v>
      </c>
      <c r="S65" s="10">
        <v>38.1</v>
      </c>
      <c r="T65" s="10">
        <v>89.8</v>
      </c>
      <c r="U65" s="35">
        <v>495</v>
      </c>
      <c r="V65" s="10">
        <v>1129</v>
      </c>
      <c r="W65" s="35">
        <v>1.05</v>
      </c>
      <c r="X65" s="10">
        <v>0.45</v>
      </c>
      <c r="Y65" s="10">
        <v>1.5</v>
      </c>
      <c r="Z65" s="10">
        <v>1</v>
      </c>
      <c r="AA65" s="10">
        <v>1.45</v>
      </c>
      <c r="AB65" s="35">
        <v>1.42</v>
      </c>
      <c r="AC65" s="10">
        <v>1</v>
      </c>
      <c r="AD65" s="10">
        <v>2.4300000000000002</v>
      </c>
      <c r="AE65" s="10">
        <v>1.36</v>
      </c>
      <c r="AF65" s="42">
        <v>2.36</v>
      </c>
    </row>
    <row r="66" spans="1:32" ht="16.5" thickBot="1" x14ac:dyDescent="0.3">
      <c r="A66" s="41" t="s">
        <v>27</v>
      </c>
      <c r="B66" s="10">
        <v>25</v>
      </c>
      <c r="C66" s="34">
        <v>28.4</v>
      </c>
      <c r="D66" s="34">
        <v>50.6</v>
      </c>
      <c r="E66" s="35">
        <v>38</v>
      </c>
      <c r="F66" s="10">
        <v>418</v>
      </c>
      <c r="G66" s="2">
        <v>3420</v>
      </c>
      <c r="H66" s="10">
        <v>38</v>
      </c>
      <c r="I66" s="35">
        <v>54</v>
      </c>
      <c r="J66" s="10">
        <v>40</v>
      </c>
      <c r="K66" s="10">
        <v>94</v>
      </c>
      <c r="L66" s="10">
        <v>52</v>
      </c>
      <c r="M66" s="10">
        <v>2</v>
      </c>
      <c r="N66" s="10">
        <v>2</v>
      </c>
      <c r="O66" s="10">
        <v>84</v>
      </c>
      <c r="P66" s="10">
        <v>4</v>
      </c>
      <c r="Q66" s="35">
        <v>50.8</v>
      </c>
      <c r="R66" s="10">
        <v>49.2</v>
      </c>
      <c r="S66" s="10">
        <v>37.6</v>
      </c>
      <c r="T66" s="10">
        <v>86.8</v>
      </c>
      <c r="U66" s="35">
        <v>670</v>
      </c>
      <c r="V66" s="10">
        <v>1467</v>
      </c>
      <c r="W66" s="35">
        <v>1.42</v>
      </c>
      <c r="X66" s="10">
        <v>1.05</v>
      </c>
      <c r="Y66" s="10">
        <v>2.4700000000000002</v>
      </c>
      <c r="Z66" s="10">
        <v>1.37</v>
      </c>
      <c r="AA66" s="10">
        <v>2.42</v>
      </c>
      <c r="AB66" s="35">
        <v>1.34</v>
      </c>
      <c r="AC66" s="10">
        <v>0.99</v>
      </c>
      <c r="AD66" s="10">
        <v>2.33</v>
      </c>
      <c r="AE66" s="10">
        <v>1.3</v>
      </c>
      <c r="AF66" s="42">
        <v>2.29</v>
      </c>
    </row>
    <row r="67" spans="1:32" ht="16.5" thickBot="1" x14ac:dyDescent="0.3">
      <c r="A67" s="41" t="s">
        <v>1</v>
      </c>
      <c r="B67" s="10">
        <v>30</v>
      </c>
      <c r="C67" s="34">
        <v>26.3</v>
      </c>
      <c r="D67" s="34">
        <v>61.3</v>
      </c>
      <c r="E67" s="35">
        <v>38</v>
      </c>
      <c r="F67" s="10">
        <v>418</v>
      </c>
      <c r="G67" s="2">
        <v>3420</v>
      </c>
      <c r="H67" s="10">
        <v>38</v>
      </c>
      <c r="I67" s="35">
        <v>80</v>
      </c>
      <c r="J67" s="10">
        <v>60</v>
      </c>
      <c r="K67" s="10">
        <v>140</v>
      </c>
      <c r="L67" s="10">
        <v>74</v>
      </c>
      <c r="M67" s="10">
        <v>6</v>
      </c>
      <c r="N67" s="10">
        <v>9</v>
      </c>
      <c r="O67" s="10">
        <v>69</v>
      </c>
      <c r="P67" s="10">
        <v>5</v>
      </c>
      <c r="Q67" s="35">
        <v>87.8</v>
      </c>
      <c r="R67" s="10">
        <v>80.400000000000006</v>
      </c>
      <c r="S67" s="10">
        <v>63.7</v>
      </c>
      <c r="T67" s="10">
        <v>144.1</v>
      </c>
      <c r="U67" s="35">
        <v>924</v>
      </c>
      <c r="V67" s="10">
        <v>2110</v>
      </c>
      <c r="W67" s="35">
        <v>2.11</v>
      </c>
      <c r="X67" s="10">
        <v>1.58</v>
      </c>
      <c r="Y67" s="10">
        <v>3.68</v>
      </c>
      <c r="Z67" s="10">
        <v>1.95</v>
      </c>
      <c r="AA67" s="10">
        <v>3.53</v>
      </c>
      <c r="AB67" s="35">
        <v>2.31</v>
      </c>
      <c r="AC67" s="10">
        <v>1.68</v>
      </c>
      <c r="AD67" s="10">
        <v>3.98</v>
      </c>
      <c r="AE67" s="10">
        <v>2.12</v>
      </c>
      <c r="AF67" s="42">
        <v>3.79</v>
      </c>
    </row>
    <row r="68" spans="1:32" ht="16.5" thickBot="1" x14ac:dyDescent="0.3">
      <c r="A68" s="41" t="s">
        <v>149</v>
      </c>
      <c r="B68" s="10">
        <v>28</v>
      </c>
      <c r="C68" s="34">
        <v>26.7</v>
      </c>
      <c r="D68" s="34">
        <v>42.4</v>
      </c>
      <c r="E68" s="35">
        <v>38</v>
      </c>
      <c r="F68" s="10">
        <v>418</v>
      </c>
      <c r="G68" s="2">
        <v>3420</v>
      </c>
      <c r="H68" s="10">
        <v>38</v>
      </c>
      <c r="I68" s="35">
        <v>49</v>
      </c>
      <c r="J68" s="10">
        <v>33</v>
      </c>
      <c r="K68" s="10">
        <v>82</v>
      </c>
      <c r="L68" s="10">
        <v>44</v>
      </c>
      <c r="M68" s="10">
        <v>5</v>
      </c>
      <c r="N68" s="10">
        <v>5</v>
      </c>
      <c r="O68" s="10">
        <v>71</v>
      </c>
      <c r="P68" s="10">
        <v>0</v>
      </c>
      <c r="Q68" s="35">
        <v>42.4</v>
      </c>
      <c r="R68" s="10">
        <v>38.6</v>
      </c>
      <c r="S68" s="10">
        <v>29.5</v>
      </c>
      <c r="T68" s="10">
        <v>68.2</v>
      </c>
      <c r="U68" s="35">
        <v>675</v>
      </c>
      <c r="V68" s="10">
        <v>1113</v>
      </c>
      <c r="W68" s="35">
        <v>1.29</v>
      </c>
      <c r="X68" s="10">
        <v>0.87</v>
      </c>
      <c r="Y68" s="10">
        <v>2.16</v>
      </c>
      <c r="Z68" s="10">
        <v>1.1599999999999999</v>
      </c>
      <c r="AA68" s="10">
        <v>2.0299999999999998</v>
      </c>
      <c r="AB68" s="35">
        <v>1.1200000000000001</v>
      </c>
      <c r="AC68" s="10">
        <v>0.78</v>
      </c>
      <c r="AD68" s="10">
        <v>1.89</v>
      </c>
      <c r="AE68" s="10">
        <v>1.02</v>
      </c>
      <c r="AF68" s="42">
        <v>1.79</v>
      </c>
    </row>
    <row r="69" spans="1:32" ht="16.5" thickBot="1" x14ac:dyDescent="0.3">
      <c r="A69" s="41" t="s">
        <v>25</v>
      </c>
      <c r="B69" s="10">
        <v>25</v>
      </c>
      <c r="C69" s="34">
        <v>26.6</v>
      </c>
      <c r="D69" s="34">
        <v>65.2</v>
      </c>
      <c r="E69" s="35">
        <v>38</v>
      </c>
      <c r="F69" s="10">
        <v>418</v>
      </c>
      <c r="G69" s="2">
        <v>3420</v>
      </c>
      <c r="H69" s="10">
        <v>38</v>
      </c>
      <c r="I69" s="35">
        <v>94</v>
      </c>
      <c r="J69" s="10">
        <v>69</v>
      </c>
      <c r="K69" s="10">
        <v>163</v>
      </c>
      <c r="L69" s="10">
        <v>85</v>
      </c>
      <c r="M69" s="10">
        <v>9</v>
      </c>
      <c r="N69" s="10">
        <v>10</v>
      </c>
      <c r="O69" s="10">
        <v>53</v>
      </c>
      <c r="P69" s="10">
        <v>2</v>
      </c>
      <c r="Q69" s="35">
        <v>80.5</v>
      </c>
      <c r="R69" s="10">
        <v>72.900000000000006</v>
      </c>
      <c r="S69" s="10">
        <v>60.2</v>
      </c>
      <c r="T69" s="10">
        <v>133.1</v>
      </c>
      <c r="U69" s="35">
        <v>1127</v>
      </c>
      <c r="V69" s="10">
        <v>2060</v>
      </c>
      <c r="W69" s="35">
        <v>2.4700000000000002</v>
      </c>
      <c r="X69" s="10">
        <v>1.82</v>
      </c>
      <c r="Y69" s="10">
        <v>4.29</v>
      </c>
      <c r="Z69" s="10">
        <v>2.2400000000000002</v>
      </c>
      <c r="AA69" s="10">
        <v>4.05</v>
      </c>
      <c r="AB69" s="35">
        <v>2.12</v>
      </c>
      <c r="AC69" s="10">
        <v>1.58</v>
      </c>
      <c r="AD69" s="10">
        <v>3.7</v>
      </c>
      <c r="AE69" s="10">
        <v>1.92</v>
      </c>
      <c r="AF69" s="42">
        <v>3.5</v>
      </c>
    </row>
    <row r="70" spans="1:32" ht="16.5" thickBot="1" x14ac:dyDescent="0.3">
      <c r="A70" s="41" t="s">
        <v>268</v>
      </c>
      <c r="B70" s="10">
        <v>31</v>
      </c>
      <c r="C70" s="34">
        <v>26.1</v>
      </c>
      <c r="D70" s="34">
        <v>50.6</v>
      </c>
      <c r="E70" s="35">
        <v>38</v>
      </c>
      <c r="F70" s="10">
        <v>418</v>
      </c>
      <c r="G70" s="2">
        <v>3420</v>
      </c>
      <c r="H70" s="10">
        <v>38</v>
      </c>
      <c r="I70" s="35">
        <v>57</v>
      </c>
      <c r="J70" s="10">
        <v>36</v>
      </c>
      <c r="K70" s="10">
        <v>93</v>
      </c>
      <c r="L70" s="10">
        <v>51</v>
      </c>
      <c r="M70" s="10">
        <v>6</v>
      </c>
      <c r="N70" s="10">
        <v>7</v>
      </c>
      <c r="O70" s="10">
        <v>83</v>
      </c>
      <c r="P70" s="10">
        <v>1</v>
      </c>
      <c r="Q70" s="35">
        <v>56.5</v>
      </c>
      <c r="R70" s="10">
        <v>51</v>
      </c>
      <c r="S70" s="10">
        <v>40.1</v>
      </c>
      <c r="T70" s="10">
        <v>91</v>
      </c>
      <c r="U70" s="35">
        <v>759</v>
      </c>
      <c r="V70" s="10">
        <v>1479</v>
      </c>
      <c r="W70" s="35">
        <v>1.5</v>
      </c>
      <c r="X70" s="10">
        <v>0.95</v>
      </c>
      <c r="Y70" s="10">
        <v>2.4500000000000002</v>
      </c>
      <c r="Z70" s="10">
        <v>1.34</v>
      </c>
      <c r="AA70" s="10">
        <v>2.29</v>
      </c>
      <c r="AB70" s="35">
        <v>1.49</v>
      </c>
      <c r="AC70" s="10">
        <v>1.06</v>
      </c>
      <c r="AD70" s="10">
        <v>2.54</v>
      </c>
      <c r="AE70" s="10">
        <v>1.34</v>
      </c>
      <c r="AF70" s="42">
        <v>2.4</v>
      </c>
    </row>
    <row r="71" spans="1:32" ht="16.5" thickBot="1" x14ac:dyDescent="0.3">
      <c r="A71" s="41" t="s">
        <v>269</v>
      </c>
      <c r="B71" s="10">
        <v>32</v>
      </c>
      <c r="C71" s="34">
        <v>27.2</v>
      </c>
      <c r="D71" s="34">
        <v>52.2</v>
      </c>
      <c r="E71" s="35">
        <v>38</v>
      </c>
      <c r="F71" s="10">
        <v>418</v>
      </c>
      <c r="G71" s="2">
        <v>3420</v>
      </c>
      <c r="H71" s="10">
        <v>38</v>
      </c>
      <c r="I71" s="35">
        <v>83</v>
      </c>
      <c r="J71" s="10">
        <v>55</v>
      </c>
      <c r="K71" s="10">
        <v>138</v>
      </c>
      <c r="L71" s="10">
        <v>75</v>
      </c>
      <c r="M71" s="10">
        <v>8</v>
      </c>
      <c r="N71" s="10">
        <v>9</v>
      </c>
      <c r="O71" s="10">
        <v>79</v>
      </c>
      <c r="P71" s="10">
        <v>1</v>
      </c>
      <c r="Q71" s="35">
        <v>76</v>
      </c>
      <c r="R71" s="10">
        <v>69</v>
      </c>
      <c r="S71" s="10">
        <v>51.3</v>
      </c>
      <c r="T71" s="10">
        <v>120.3</v>
      </c>
      <c r="U71" s="35">
        <v>737</v>
      </c>
      <c r="V71" s="10">
        <v>1557</v>
      </c>
      <c r="W71" s="35">
        <v>2.1800000000000002</v>
      </c>
      <c r="X71" s="10">
        <v>1.45</v>
      </c>
      <c r="Y71" s="10">
        <v>3.63</v>
      </c>
      <c r="Z71" s="10">
        <v>1.97</v>
      </c>
      <c r="AA71" s="10">
        <v>3.42</v>
      </c>
      <c r="AB71" s="35">
        <v>2</v>
      </c>
      <c r="AC71" s="10">
        <v>1.35</v>
      </c>
      <c r="AD71" s="10">
        <v>3.35</v>
      </c>
      <c r="AE71" s="10">
        <v>1.82</v>
      </c>
      <c r="AF71" s="42">
        <v>3.17</v>
      </c>
    </row>
    <row r="72" spans="1:32" ht="16.5" thickBot="1" x14ac:dyDescent="0.3">
      <c r="A72" s="41" t="s">
        <v>91</v>
      </c>
      <c r="B72" s="10">
        <v>33</v>
      </c>
      <c r="C72" s="34">
        <v>25.7</v>
      </c>
      <c r="D72" s="34">
        <v>40.6</v>
      </c>
      <c r="E72" s="35">
        <v>38</v>
      </c>
      <c r="F72" s="10">
        <v>418</v>
      </c>
      <c r="G72" s="2">
        <v>3420</v>
      </c>
      <c r="H72" s="10">
        <v>38</v>
      </c>
      <c r="I72" s="35">
        <v>49</v>
      </c>
      <c r="J72" s="10">
        <v>43</v>
      </c>
      <c r="K72" s="10">
        <v>92</v>
      </c>
      <c r="L72" s="10">
        <v>48</v>
      </c>
      <c r="M72" s="10">
        <v>1</v>
      </c>
      <c r="N72" s="10">
        <v>1</v>
      </c>
      <c r="O72" s="10">
        <v>82</v>
      </c>
      <c r="P72" s="10">
        <v>3</v>
      </c>
      <c r="Q72" s="35">
        <v>49.9</v>
      </c>
      <c r="R72" s="10">
        <v>49.1</v>
      </c>
      <c r="S72" s="10">
        <v>38</v>
      </c>
      <c r="T72" s="10">
        <v>87.1</v>
      </c>
      <c r="U72" s="35">
        <v>604</v>
      </c>
      <c r="V72" s="10">
        <v>1140</v>
      </c>
      <c r="W72" s="35">
        <v>1.29</v>
      </c>
      <c r="X72" s="10">
        <v>1.1299999999999999</v>
      </c>
      <c r="Y72" s="10">
        <v>2.42</v>
      </c>
      <c r="Z72" s="10">
        <v>1.26</v>
      </c>
      <c r="AA72" s="10">
        <v>2.39</v>
      </c>
      <c r="AB72" s="35">
        <v>1.31</v>
      </c>
      <c r="AC72" s="10">
        <v>1</v>
      </c>
      <c r="AD72" s="10">
        <v>2.31</v>
      </c>
      <c r="AE72" s="10">
        <v>1.29</v>
      </c>
      <c r="AF72" s="42">
        <v>2.29</v>
      </c>
    </row>
    <row r="73" spans="1:32" ht="16.5" thickBot="1" x14ac:dyDescent="0.3">
      <c r="A73" s="41" t="s">
        <v>103</v>
      </c>
      <c r="B73" s="10">
        <v>35</v>
      </c>
      <c r="C73" s="34">
        <v>25.7</v>
      </c>
      <c r="D73" s="34">
        <v>35.799999999999997</v>
      </c>
      <c r="E73" s="35">
        <v>38</v>
      </c>
      <c r="F73" s="10">
        <v>418</v>
      </c>
      <c r="G73" s="2">
        <v>3420</v>
      </c>
      <c r="H73" s="10">
        <v>38</v>
      </c>
      <c r="I73" s="35">
        <v>31</v>
      </c>
      <c r="J73" s="10">
        <v>18</v>
      </c>
      <c r="K73" s="10">
        <v>49</v>
      </c>
      <c r="L73" s="10">
        <v>26</v>
      </c>
      <c r="M73" s="10">
        <v>5</v>
      </c>
      <c r="N73" s="10">
        <v>5</v>
      </c>
      <c r="O73" s="10">
        <v>101</v>
      </c>
      <c r="P73" s="10">
        <v>5</v>
      </c>
      <c r="Q73" s="35">
        <v>38.299999999999997</v>
      </c>
      <c r="R73" s="10">
        <v>34.4</v>
      </c>
      <c r="S73" s="10">
        <v>25.8</v>
      </c>
      <c r="T73" s="10">
        <v>60.2</v>
      </c>
      <c r="U73" s="35">
        <v>343</v>
      </c>
      <c r="V73" s="10">
        <v>884</v>
      </c>
      <c r="W73" s="35">
        <v>0.82</v>
      </c>
      <c r="X73" s="10">
        <v>0.47</v>
      </c>
      <c r="Y73" s="10">
        <v>1.29</v>
      </c>
      <c r="Z73" s="10">
        <v>0.68</v>
      </c>
      <c r="AA73" s="10">
        <v>1.1599999999999999</v>
      </c>
      <c r="AB73" s="35">
        <v>1.01</v>
      </c>
      <c r="AC73" s="10">
        <v>0.68</v>
      </c>
      <c r="AD73" s="10">
        <v>1.69</v>
      </c>
      <c r="AE73" s="10">
        <v>0.91</v>
      </c>
      <c r="AF73" s="42">
        <v>1.58</v>
      </c>
    </row>
    <row r="74" spans="1:32" ht="16.5" thickBot="1" x14ac:dyDescent="0.3">
      <c r="A74" s="43" t="s">
        <v>150</v>
      </c>
      <c r="B74" s="11">
        <v>29</v>
      </c>
      <c r="C74" s="36">
        <v>25.2</v>
      </c>
      <c r="D74" s="36">
        <v>61.6</v>
      </c>
      <c r="E74" s="37">
        <v>38</v>
      </c>
      <c r="F74" s="11">
        <v>418</v>
      </c>
      <c r="G74" s="31">
        <v>3420</v>
      </c>
      <c r="H74" s="11">
        <v>38</v>
      </c>
      <c r="I74" s="37">
        <v>69</v>
      </c>
      <c r="J74" s="11">
        <v>58</v>
      </c>
      <c r="K74" s="11">
        <v>127</v>
      </c>
      <c r="L74" s="11">
        <v>67</v>
      </c>
      <c r="M74" s="11">
        <v>2</v>
      </c>
      <c r="N74" s="11">
        <v>2</v>
      </c>
      <c r="O74" s="11">
        <v>92</v>
      </c>
      <c r="P74" s="11">
        <v>4</v>
      </c>
      <c r="Q74" s="37">
        <v>68.2</v>
      </c>
      <c r="R74" s="11">
        <v>66.7</v>
      </c>
      <c r="S74" s="11">
        <v>57.4</v>
      </c>
      <c r="T74" s="11">
        <v>124.1</v>
      </c>
      <c r="U74" s="37">
        <v>957</v>
      </c>
      <c r="V74" s="11">
        <v>2107</v>
      </c>
      <c r="W74" s="37">
        <v>1.82</v>
      </c>
      <c r="X74" s="11">
        <v>1.53</v>
      </c>
      <c r="Y74" s="11">
        <v>3.34</v>
      </c>
      <c r="Z74" s="11">
        <v>1.76</v>
      </c>
      <c r="AA74" s="11">
        <v>3.29</v>
      </c>
      <c r="AB74" s="37">
        <v>1.79</v>
      </c>
      <c r="AC74" s="11">
        <v>1.51</v>
      </c>
      <c r="AD74" s="11">
        <v>3.31</v>
      </c>
      <c r="AE74" s="11">
        <v>1.75</v>
      </c>
      <c r="AF74" s="44">
        <v>3.27</v>
      </c>
    </row>
    <row r="75" spans="1:32" ht="16.5" thickBot="1" x14ac:dyDescent="0.3">
      <c r="A75" s="41" t="s">
        <v>151</v>
      </c>
      <c r="B75" s="10">
        <v>26</v>
      </c>
      <c r="C75" s="34">
        <v>28.3</v>
      </c>
      <c r="D75" s="34">
        <v>41.1</v>
      </c>
      <c r="E75" s="35">
        <v>38</v>
      </c>
      <c r="F75" s="10">
        <v>418</v>
      </c>
      <c r="G75" s="2">
        <v>3420</v>
      </c>
      <c r="H75" s="10">
        <v>38</v>
      </c>
      <c r="I75" s="35">
        <v>58</v>
      </c>
      <c r="J75" s="10">
        <v>40</v>
      </c>
      <c r="K75" s="10">
        <v>98</v>
      </c>
      <c r="L75" s="10">
        <v>54</v>
      </c>
      <c r="M75" s="10">
        <v>4</v>
      </c>
      <c r="N75" s="10">
        <v>5</v>
      </c>
      <c r="O75" s="10">
        <v>82</v>
      </c>
      <c r="P75" s="10">
        <v>3</v>
      </c>
      <c r="Q75" s="35">
        <v>52.3</v>
      </c>
      <c r="R75" s="10">
        <v>48.4</v>
      </c>
      <c r="S75" s="10">
        <v>34.799999999999997</v>
      </c>
      <c r="T75" s="10">
        <v>83.2</v>
      </c>
      <c r="U75" s="35">
        <v>556</v>
      </c>
      <c r="V75" s="10">
        <v>1207</v>
      </c>
      <c r="W75" s="35">
        <v>1.53</v>
      </c>
      <c r="X75" s="10">
        <v>1.05</v>
      </c>
      <c r="Y75" s="10">
        <v>2.58</v>
      </c>
      <c r="Z75" s="10">
        <v>1.42</v>
      </c>
      <c r="AA75" s="10">
        <v>2.4700000000000002</v>
      </c>
      <c r="AB75" s="35">
        <v>1.38</v>
      </c>
      <c r="AC75" s="10">
        <v>0.92</v>
      </c>
      <c r="AD75" s="10">
        <v>2.29</v>
      </c>
      <c r="AE75" s="10">
        <v>1.27</v>
      </c>
      <c r="AF75" s="42">
        <v>2.19</v>
      </c>
    </row>
    <row r="76" spans="1:32" x14ac:dyDescent="0.25">
      <c r="A76" s="45" t="s">
        <v>153</v>
      </c>
      <c r="B76" s="12">
        <v>27</v>
      </c>
      <c r="C76" s="46">
        <v>26.6</v>
      </c>
      <c r="D76" s="46">
        <v>48.9</v>
      </c>
      <c r="E76" s="47">
        <v>38</v>
      </c>
      <c r="F76" s="12">
        <v>418</v>
      </c>
      <c r="G76" s="3">
        <v>3420</v>
      </c>
      <c r="H76" s="12">
        <v>38</v>
      </c>
      <c r="I76" s="47">
        <v>47</v>
      </c>
      <c r="J76" s="12">
        <v>36</v>
      </c>
      <c r="K76" s="12">
        <v>83</v>
      </c>
      <c r="L76" s="12">
        <v>43</v>
      </c>
      <c r="M76" s="12">
        <v>4</v>
      </c>
      <c r="N76" s="12">
        <v>4</v>
      </c>
      <c r="O76" s="12">
        <v>102</v>
      </c>
      <c r="P76" s="12">
        <v>4</v>
      </c>
      <c r="Q76" s="47">
        <v>46.7</v>
      </c>
      <c r="R76" s="12">
        <v>43.6</v>
      </c>
      <c r="S76" s="12">
        <v>31.8</v>
      </c>
      <c r="T76" s="12">
        <v>75.400000000000006</v>
      </c>
      <c r="U76" s="47">
        <v>671</v>
      </c>
      <c r="V76" s="12">
        <v>1180</v>
      </c>
      <c r="W76" s="47">
        <v>1.24</v>
      </c>
      <c r="X76" s="12">
        <v>0.95</v>
      </c>
      <c r="Y76" s="12">
        <v>2.1800000000000002</v>
      </c>
      <c r="Z76" s="12">
        <v>1.1299999999999999</v>
      </c>
      <c r="AA76" s="12">
        <v>2.08</v>
      </c>
      <c r="AB76" s="47">
        <v>1.23</v>
      </c>
      <c r="AC76" s="12">
        <v>0.84</v>
      </c>
      <c r="AD76" s="12">
        <v>2.0699999999999998</v>
      </c>
      <c r="AE76" s="12">
        <v>1.1499999999999999</v>
      </c>
      <c r="AF76" s="28"/>
    </row>
    <row r="79" spans="1:32" ht="16.5" thickBot="1" x14ac:dyDescent="0.3"/>
    <row r="80" spans="1:32" ht="16.5" thickBot="1" x14ac:dyDescent="0.3">
      <c r="A80" s="107" t="s">
        <v>270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8"/>
      <c r="M80" s="109" t="s">
        <v>241</v>
      </c>
      <c r="N80" s="107"/>
      <c r="O80" s="107"/>
      <c r="P80" s="107"/>
      <c r="Q80" s="107"/>
      <c r="R80" s="20"/>
      <c r="S80" s="20"/>
      <c r="T80" s="21"/>
    </row>
    <row r="81" spans="1:40" ht="16.5" thickBot="1" x14ac:dyDescent="0.3">
      <c r="A81" s="38" t="s">
        <v>244</v>
      </c>
      <c r="B81" s="33" t="s">
        <v>245</v>
      </c>
      <c r="C81" s="33" t="s">
        <v>251</v>
      </c>
      <c r="D81" s="32" t="s">
        <v>252</v>
      </c>
      <c r="E81" s="33" t="s">
        <v>271</v>
      </c>
      <c r="F81" s="33" t="s">
        <v>272</v>
      </c>
      <c r="G81" s="33" t="s">
        <v>273</v>
      </c>
      <c r="H81" s="33" t="s">
        <v>274</v>
      </c>
      <c r="I81" s="33" t="s">
        <v>275</v>
      </c>
      <c r="J81" s="33" t="s">
        <v>276</v>
      </c>
      <c r="K81" s="33" t="s">
        <v>277</v>
      </c>
      <c r="L81" s="33" t="s">
        <v>278</v>
      </c>
      <c r="M81" s="33" t="s">
        <v>279</v>
      </c>
      <c r="N81" s="33" t="s">
        <v>256</v>
      </c>
      <c r="O81" s="33" t="s">
        <v>257</v>
      </c>
      <c r="P81" s="32" t="s">
        <v>260</v>
      </c>
      <c r="Q81" s="33" t="s">
        <v>261</v>
      </c>
      <c r="R81" s="33" t="s">
        <v>280</v>
      </c>
      <c r="S81" s="33" t="s">
        <v>281</v>
      </c>
      <c r="T81" s="40" t="s">
        <v>282</v>
      </c>
      <c r="W81" s="50" t="s">
        <v>244</v>
      </c>
      <c r="X81" s="60" t="s">
        <v>245</v>
      </c>
      <c r="Y81" s="60" t="s">
        <v>251</v>
      </c>
      <c r="Z81" s="60" t="s">
        <v>283</v>
      </c>
      <c r="AA81" s="51" t="s">
        <v>284</v>
      </c>
      <c r="AB81" s="60" t="s">
        <v>285</v>
      </c>
      <c r="AC81" s="60" t="s">
        <v>279</v>
      </c>
      <c r="AD81" s="60" t="s">
        <v>286</v>
      </c>
      <c r="AE81" s="60" t="s">
        <v>287</v>
      </c>
      <c r="AF81" s="60" t="s">
        <v>288</v>
      </c>
      <c r="AG81" s="60" t="s">
        <v>289</v>
      </c>
      <c r="AH81" s="60" t="s">
        <v>290</v>
      </c>
      <c r="AI81" s="51" t="s">
        <v>291</v>
      </c>
      <c r="AJ81" s="60" t="s">
        <v>292</v>
      </c>
      <c r="AK81" s="60" t="s">
        <v>293</v>
      </c>
      <c r="AL81" s="51" t="s">
        <v>294</v>
      </c>
      <c r="AM81" s="60" t="s">
        <v>295</v>
      </c>
      <c r="AN81" s="61" t="s">
        <v>296</v>
      </c>
    </row>
    <row r="82" spans="1:40" x14ac:dyDescent="0.25">
      <c r="A82" s="7" t="s">
        <v>6</v>
      </c>
      <c r="B82" s="10">
        <v>25</v>
      </c>
      <c r="C82" s="10">
        <v>38</v>
      </c>
      <c r="D82" s="35">
        <v>86</v>
      </c>
      <c r="E82" s="10">
        <v>647</v>
      </c>
      <c r="F82" s="10">
        <v>209</v>
      </c>
      <c r="G82" s="10">
        <v>32.299999999999997</v>
      </c>
      <c r="H82" s="10">
        <v>17.03</v>
      </c>
      <c r="I82" s="10">
        <v>5.5</v>
      </c>
      <c r="J82" s="10">
        <v>0.12</v>
      </c>
      <c r="K82" s="10">
        <v>0.36</v>
      </c>
      <c r="L82" s="10">
        <v>15.8</v>
      </c>
      <c r="M82" s="10">
        <v>6</v>
      </c>
      <c r="N82" s="10">
        <v>10</v>
      </c>
      <c r="O82" s="10">
        <v>10</v>
      </c>
      <c r="P82" s="35">
        <v>76.099999999999994</v>
      </c>
      <c r="Q82" s="10">
        <v>68.5</v>
      </c>
      <c r="R82" s="10">
        <v>0.11</v>
      </c>
      <c r="S82" s="48">
        <v>9.9</v>
      </c>
      <c r="T82" s="52">
        <v>7.5</v>
      </c>
      <c r="W82" s="7" t="s">
        <v>6</v>
      </c>
      <c r="X82" s="10">
        <v>25</v>
      </c>
      <c r="Y82" s="10">
        <v>38</v>
      </c>
      <c r="Z82" s="10">
        <v>22558</v>
      </c>
      <c r="AA82" s="35">
        <v>20941</v>
      </c>
      <c r="AB82" s="10">
        <v>1530</v>
      </c>
      <c r="AC82" s="10">
        <v>443</v>
      </c>
      <c r="AD82" s="10">
        <v>104</v>
      </c>
      <c r="AE82" s="10">
        <v>65</v>
      </c>
      <c r="AF82" s="10">
        <v>670</v>
      </c>
      <c r="AG82" s="10">
        <v>560</v>
      </c>
      <c r="AH82" s="10">
        <v>265</v>
      </c>
      <c r="AI82" s="35">
        <v>217</v>
      </c>
      <c r="AJ82" s="10">
        <v>1</v>
      </c>
      <c r="AK82" s="10">
        <v>0</v>
      </c>
      <c r="AL82" s="35">
        <v>19094</v>
      </c>
      <c r="AM82" s="10">
        <v>87</v>
      </c>
      <c r="AN82" s="42">
        <v>319</v>
      </c>
    </row>
    <row r="83" spans="1:40" x14ac:dyDescent="0.25">
      <c r="A83" s="7" t="s">
        <v>8</v>
      </c>
      <c r="B83" s="10">
        <v>31</v>
      </c>
      <c r="C83" s="10">
        <v>38</v>
      </c>
      <c r="D83" s="35">
        <v>72</v>
      </c>
      <c r="E83" s="10">
        <v>511</v>
      </c>
      <c r="F83" s="10">
        <v>182</v>
      </c>
      <c r="G83" s="10">
        <v>35.6</v>
      </c>
      <c r="H83" s="10">
        <v>13.45</v>
      </c>
      <c r="I83" s="10">
        <v>4.79</v>
      </c>
      <c r="J83" s="10">
        <v>0.13</v>
      </c>
      <c r="K83" s="10">
        <v>0.37</v>
      </c>
      <c r="L83" s="10">
        <v>16</v>
      </c>
      <c r="M83" s="10">
        <v>15</v>
      </c>
      <c r="N83" s="10">
        <v>4</v>
      </c>
      <c r="O83" s="10">
        <v>4</v>
      </c>
      <c r="P83" s="35">
        <v>63.3</v>
      </c>
      <c r="Q83" s="10">
        <v>60.3</v>
      </c>
      <c r="R83" s="10">
        <v>0.12</v>
      </c>
      <c r="S83" s="48">
        <v>8.6999999999999993</v>
      </c>
      <c r="T83" s="52">
        <v>7.7</v>
      </c>
      <c r="W83" s="7" t="s">
        <v>8</v>
      </c>
      <c r="X83" s="10">
        <v>31</v>
      </c>
      <c r="Y83" s="10">
        <v>38</v>
      </c>
      <c r="Z83" s="10">
        <v>19363</v>
      </c>
      <c r="AA83" s="35">
        <v>17499</v>
      </c>
      <c r="AB83" s="10">
        <v>1817</v>
      </c>
      <c r="AC83" s="10">
        <v>628</v>
      </c>
      <c r="AD83" s="10">
        <v>80</v>
      </c>
      <c r="AE83" s="10">
        <v>95</v>
      </c>
      <c r="AF83" s="10">
        <v>651</v>
      </c>
      <c r="AG83" s="10">
        <v>613</v>
      </c>
      <c r="AH83" s="10">
        <v>231</v>
      </c>
      <c r="AI83" s="35">
        <v>149</v>
      </c>
      <c r="AJ83" s="10">
        <v>15</v>
      </c>
      <c r="AK83" s="10">
        <v>2</v>
      </c>
      <c r="AL83" s="35">
        <v>16133</v>
      </c>
      <c r="AM83" s="10">
        <v>47</v>
      </c>
      <c r="AN83" s="42">
        <v>343</v>
      </c>
    </row>
    <row r="84" spans="1:40" x14ac:dyDescent="0.25">
      <c r="A84" s="7" t="s">
        <v>85</v>
      </c>
      <c r="B84" s="10">
        <v>30</v>
      </c>
      <c r="C84" s="10">
        <v>38</v>
      </c>
      <c r="D84" s="35">
        <v>52</v>
      </c>
      <c r="E84" s="10">
        <v>539</v>
      </c>
      <c r="F84" s="10">
        <v>175</v>
      </c>
      <c r="G84" s="10">
        <v>32.5</v>
      </c>
      <c r="H84" s="10">
        <v>14.18</v>
      </c>
      <c r="I84" s="10">
        <v>4.6100000000000003</v>
      </c>
      <c r="J84" s="10">
        <v>0.09</v>
      </c>
      <c r="K84" s="10">
        <v>0.28999999999999998</v>
      </c>
      <c r="L84" s="10">
        <v>16.7</v>
      </c>
      <c r="M84" s="10">
        <v>18</v>
      </c>
      <c r="N84" s="10">
        <v>2</v>
      </c>
      <c r="O84" s="10">
        <v>3</v>
      </c>
      <c r="P84" s="35">
        <v>55.9</v>
      </c>
      <c r="Q84" s="10">
        <v>53.6</v>
      </c>
      <c r="R84" s="10">
        <v>0.1</v>
      </c>
      <c r="S84" s="49">
        <v>-3.9</v>
      </c>
      <c r="T84" s="53">
        <v>-3.6</v>
      </c>
      <c r="W84" s="7" t="s">
        <v>85</v>
      </c>
      <c r="X84" s="10">
        <v>30</v>
      </c>
      <c r="Y84" s="10">
        <v>38</v>
      </c>
      <c r="Z84" s="10">
        <v>15920</v>
      </c>
      <c r="AA84" s="35">
        <v>14065</v>
      </c>
      <c r="AB84" s="10">
        <v>1799</v>
      </c>
      <c r="AC84" s="10">
        <v>419</v>
      </c>
      <c r="AD84" s="10">
        <v>48</v>
      </c>
      <c r="AE84" s="10">
        <v>91</v>
      </c>
      <c r="AF84" s="10">
        <v>709</v>
      </c>
      <c r="AG84" s="10">
        <v>774</v>
      </c>
      <c r="AH84" s="10">
        <v>235</v>
      </c>
      <c r="AI84" s="35">
        <v>192</v>
      </c>
      <c r="AJ84" s="10">
        <v>9</v>
      </c>
      <c r="AK84" s="10">
        <v>4</v>
      </c>
      <c r="AL84" s="35">
        <v>11899</v>
      </c>
      <c r="AM84" s="10">
        <v>56</v>
      </c>
      <c r="AN84" s="42">
        <v>361</v>
      </c>
    </row>
    <row r="85" spans="1:40" x14ac:dyDescent="0.25">
      <c r="A85" s="7" t="s">
        <v>10</v>
      </c>
      <c r="B85" s="10">
        <v>28</v>
      </c>
      <c r="C85" s="10">
        <v>38</v>
      </c>
      <c r="D85" s="35">
        <v>54</v>
      </c>
      <c r="E85" s="10">
        <v>470</v>
      </c>
      <c r="F85" s="10">
        <v>159</v>
      </c>
      <c r="G85" s="10">
        <v>33.799999999999997</v>
      </c>
      <c r="H85" s="10">
        <v>12.37</v>
      </c>
      <c r="I85" s="10">
        <v>4.18</v>
      </c>
      <c r="J85" s="10">
        <v>0.11</v>
      </c>
      <c r="K85" s="10">
        <v>0.32</v>
      </c>
      <c r="L85" s="10">
        <v>15.6</v>
      </c>
      <c r="M85" s="10">
        <v>17</v>
      </c>
      <c r="N85" s="10">
        <v>3</v>
      </c>
      <c r="O85" s="10">
        <v>3</v>
      </c>
      <c r="P85" s="35">
        <v>58.2</v>
      </c>
      <c r="Q85" s="10">
        <v>56</v>
      </c>
      <c r="R85" s="10">
        <v>0.12</v>
      </c>
      <c r="S85" s="49">
        <v>-4.2</v>
      </c>
      <c r="T85" s="53">
        <v>-5</v>
      </c>
      <c r="W85" s="7" t="s">
        <v>10</v>
      </c>
      <c r="X85" s="10">
        <v>28</v>
      </c>
      <c r="Y85" s="10">
        <v>38</v>
      </c>
      <c r="Z85" s="10">
        <v>16818</v>
      </c>
      <c r="AA85" s="35">
        <v>14996</v>
      </c>
      <c r="AB85" s="10">
        <v>1752</v>
      </c>
      <c r="AC85" s="10">
        <v>464</v>
      </c>
      <c r="AD85" s="10">
        <v>70</v>
      </c>
      <c r="AE85" s="10">
        <v>113</v>
      </c>
      <c r="AF85" s="10">
        <v>706</v>
      </c>
      <c r="AG85" s="10">
        <v>683</v>
      </c>
      <c r="AH85" s="10">
        <v>184</v>
      </c>
      <c r="AI85" s="35">
        <v>79</v>
      </c>
      <c r="AJ85" s="10">
        <v>51</v>
      </c>
      <c r="AK85" s="10">
        <v>10</v>
      </c>
      <c r="AL85" s="35">
        <v>12551</v>
      </c>
      <c r="AM85" s="10">
        <v>70</v>
      </c>
      <c r="AN85" s="42">
        <v>357</v>
      </c>
    </row>
    <row r="86" spans="1:40" x14ac:dyDescent="0.25">
      <c r="A86" s="7" t="s">
        <v>152</v>
      </c>
      <c r="B86" s="10">
        <v>30</v>
      </c>
      <c r="C86" s="10">
        <v>38</v>
      </c>
      <c r="D86" s="35">
        <v>50</v>
      </c>
      <c r="E86" s="10">
        <v>555</v>
      </c>
      <c r="F86" s="10">
        <v>198</v>
      </c>
      <c r="G86" s="10">
        <v>35.700000000000003</v>
      </c>
      <c r="H86" s="10">
        <v>14.61</v>
      </c>
      <c r="I86" s="10">
        <v>5.21</v>
      </c>
      <c r="J86" s="10">
        <v>0.08</v>
      </c>
      <c r="K86" s="10">
        <v>0.23</v>
      </c>
      <c r="L86" s="10">
        <v>16.7</v>
      </c>
      <c r="M86" s="10">
        <v>11</v>
      </c>
      <c r="N86" s="10">
        <v>5</v>
      </c>
      <c r="O86" s="10">
        <v>6</v>
      </c>
      <c r="P86" s="35">
        <v>56.8</v>
      </c>
      <c r="Q86" s="10">
        <v>52.2</v>
      </c>
      <c r="R86" s="10">
        <v>0.1</v>
      </c>
      <c r="S86" s="49">
        <v>-6.8</v>
      </c>
      <c r="T86" s="53">
        <v>-7.2</v>
      </c>
      <c r="W86" s="7" t="s">
        <v>152</v>
      </c>
      <c r="X86" s="10">
        <v>30</v>
      </c>
      <c r="Y86" s="10">
        <v>38</v>
      </c>
      <c r="Z86" s="10">
        <v>25029</v>
      </c>
      <c r="AA86" s="35">
        <v>23334</v>
      </c>
      <c r="AB86" s="10">
        <v>1611</v>
      </c>
      <c r="AC86" s="10">
        <v>511</v>
      </c>
      <c r="AD86" s="10">
        <v>62</v>
      </c>
      <c r="AE86" s="10">
        <v>76</v>
      </c>
      <c r="AF86" s="10">
        <v>671</v>
      </c>
      <c r="AG86" s="10">
        <v>541</v>
      </c>
      <c r="AH86" s="10">
        <v>206</v>
      </c>
      <c r="AI86" s="35">
        <v>86</v>
      </c>
      <c r="AJ86" s="10">
        <v>73</v>
      </c>
      <c r="AK86" s="10">
        <v>5</v>
      </c>
      <c r="AL86" s="35">
        <v>21810</v>
      </c>
      <c r="AM86" s="10">
        <v>84</v>
      </c>
      <c r="AN86" s="42">
        <v>327</v>
      </c>
    </row>
    <row r="87" spans="1:40" x14ac:dyDescent="0.25">
      <c r="A87" s="7" t="s">
        <v>17</v>
      </c>
      <c r="B87" s="10">
        <v>31</v>
      </c>
      <c r="C87" s="10">
        <v>38</v>
      </c>
      <c r="D87" s="35">
        <v>40</v>
      </c>
      <c r="E87" s="10">
        <v>430</v>
      </c>
      <c r="F87" s="10">
        <v>137</v>
      </c>
      <c r="G87" s="10">
        <v>31.9</v>
      </c>
      <c r="H87" s="10">
        <v>11.32</v>
      </c>
      <c r="I87" s="10">
        <v>3.61</v>
      </c>
      <c r="J87" s="10">
        <v>0.09</v>
      </c>
      <c r="K87" s="10">
        <v>0.27</v>
      </c>
      <c r="L87" s="10">
        <v>17.7</v>
      </c>
      <c r="M87" s="10">
        <v>13</v>
      </c>
      <c r="N87" s="10">
        <v>3</v>
      </c>
      <c r="O87" s="10">
        <v>3</v>
      </c>
      <c r="P87" s="35">
        <v>40.6</v>
      </c>
      <c r="Q87" s="10">
        <v>38.299999999999997</v>
      </c>
      <c r="R87" s="10">
        <v>0.09</v>
      </c>
      <c r="S87" s="49">
        <v>-0.6</v>
      </c>
      <c r="T87" s="53">
        <v>-1.3</v>
      </c>
      <c r="W87" s="7" t="s">
        <v>17</v>
      </c>
      <c r="X87" s="10">
        <v>31</v>
      </c>
      <c r="Y87" s="10">
        <v>38</v>
      </c>
      <c r="Z87" s="10">
        <v>17959</v>
      </c>
      <c r="AA87" s="35">
        <v>16189</v>
      </c>
      <c r="AB87" s="10">
        <v>1694</v>
      </c>
      <c r="AC87" s="10">
        <v>445</v>
      </c>
      <c r="AD87" s="10">
        <v>49</v>
      </c>
      <c r="AE87" s="10">
        <v>77</v>
      </c>
      <c r="AF87" s="10">
        <v>550</v>
      </c>
      <c r="AG87" s="10">
        <v>670</v>
      </c>
      <c r="AH87" s="10">
        <v>180</v>
      </c>
      <c r="AI87" s="35">
        <v>67</v>
      </c>
      <c r="AJ87" s="10">
        <v>58</v>
      </c>
      <c r="AK87" s="10">
        <v>9</v>
      </c>
      <c r="AL87" s="35">
        <v>13937</v>
      </c>
      <c r="AM87" s="10">
        <v>76</v>
      </c>
      <c r="AN87" s="42">
        <v>344</v>
      </c>
    </row>
    <row r="88" spans="1:40" x14ac:dyDescent="0.25">
      <c r="A88" s="7" t="s">
        <v>2</v>
      </c>
      <c r="B88" s="10">
        <v>32</v>
      </c>
      <c r="C88" s="10">
        <v>38</v>
      </c>
      <c r="D88" s="35">
        <v>76</v>
      </c>
      <c r="E88" s="10">
        <v>537</v>
      </c>
      <c r="F88" s="10">
        <v>194</v>
      </c>
      <c r="G88" s="10">
        <v>36.1</v>
      </c>
      <c r="H88" s="10">
        <v>14.13</v>
      </c>
      <c r="I88" s="10">
        <v>5.1100000000000003</v>
      </c>
      <c r="J88" s="10">
        <v>0.12</v>
      </c>
      <c r="K88" s="10">
        <v>0.34</v>
      </c>
      <c r="L88" s="10">
        <v>17.3</v>
      </c>
      <c r="M88" s="10">
        <v>22</v>
      </c>
      <c r="N88" s="10">
        <v>11</v>
      </c>
      <c r="O88" s="10">
        <v>12</v>
      </c>
      <c r="P88" s="35">
        <v>74.5</v>
      </c>
      <c r="Q88" s="10">
        <v>65.099999999999994</v>
      </c>
      <c r="R88" s="10">
        <v>0.12</v>
      </c>
      <c r="S88" s="48">
        <v>1.5</v>
      </c>
      <c r="T88" s="53">
        <v>-0.1</v>
      </c>
      <c r="W88" s="62" t="s">
        <v>2</v>
      </c>
      <c r="X88" s="58">
        <v>32</v>
      </c>
      <c r="Y88" s="58">
        <v>38</v>
      </c>
      <c r="Z88" s="58">
        <v>23364</v>
      </c>
      <c r="AA88" s="59">
        <v>21587</v>
      </c>
      <c r="AB88" s="58">
        <v>1692</v>
      </c>
      <c r="AC88" s="58">
        <v>496</v>
      </c>
      <c r="AD88" s="58">
        <v>116</v>
      </c>
      <c r="AE88" s="58">
        <v>101</v>
      </c>
      <c r="AF88" s="58">
        <v>558</v>
      </c>
      <c r="AG88" s="58">
        <v>611</v>
      </c>
      <c r="AH88" s="58">
        <v>202</v>
      </c>
      <c r="AI88" s="59">
        <v>78</v>
      </c>
      <c r="AJ88" s="58">
        <v>55</v>
      </c>
      <c r="AK88" s="58">
        <v>4</v>
      </c>
      <c r="AL88" s="59">
        <v>20039</v>
      </c>
      <c r="AM88" s="58">
        <v>85</v>
      </c>
      <c r="AN88" s="63">
        <v>348</v>
      </c>
    </row>
    <row r="89" spans="1:40" x14ac:dyDescent="0.25">
      <c r="A89" s="7" t="s">
        <v>9</v>
      </c>
      <c r="B89" s="10">
        <v>26</v>
      </c>
      <c r="C89" s="10">
        <v>38</v>
      </c>
      <c r="D89" s="35">
        <v>56</v>
      </c>
      <c r="E89" s="10">
        <v>452</v>
      </c>
      <c r="F89" s="10">
        <v>162</v>
      </c>
      <c r="G89" s="10">
        <v>35.799999999999997</v>
      </c>
      <c r="H89" s="10">
        <v>11.89</v>
      </c>
      <c r="I89" s="10">
        <v>4.26</v>
      </c>
      <c r="J89" s="10">
        <v>0.12</v>
      </c>
      <c r="K89" s="10">
        <v>0.32</v>
      </c>
      <c r="L89" s="10">
        <v>17.2</v>
      </c>
      <c r="M89" s="10">
        <v>20</v>
      </c>
      <c r="N89" s="10">
        <v>4</v>
      </c>
      <c r="O89" s="10">
        <v>4</v>
      </c>
      <c r="P89" s="35">
        <v>48.6</v>
      </c>
      <c r="Q89" s="10">
        <v>45.4</v>
      </c>
      <c r="R89" s="10">
        <v>0.1</v>
      </c>
      <c r="S89" s="48">
        <v>7.4</v>
      </c>
      <c r="T89" s="52">
        <v>6.6</v>
      </c>
      <c r="W89" s="7" t="s">
        <v>9</v>
      </c>
      <c r="X89" s="10">
        <v>26</v>
      </c>
      <c r="Y89" s="10">
        <v>38</v>
      </c>
      <c r="Z89" s="10">
        <v>16754</v>
      </c>
      <c r="AA89" s="35">
        <v>14948</v>
      </c>
      <c r="AB89" s="10">
        <v>1734</v>
      </c>
      <c r="AC89" s="10">
        <v>484</v>
      </c>
      <c r="AD89" s="10">
        <v>52</v>
      </c>
      <c r="AE89" s="10">
        <v>97</v>
      </c>
      <c r="AF89" s="10">
        <v>583</v>
      </c>
      <c r="AG89" s="10">
        <v>721</v>
      </c>
      <c r="AH89" s="10">
        <v>178</v>
      </c>
      <c r="AI89" s="35">
        <v>81</v>
      </c>
      <c r="AJ89" s="10">
        <v>57</v>
      </c>
      <c r="AK89" s="10">
        <v>6</v>
      </c>
      <c r="AL89" s="35">
        <v>12915</v>
      </c>
      <c r="AM89" s="10">
        <v>72</v>
      </c>
      <c r="AN89" s="42">
        <v>366</v>
      </c>
    </row>
    <row r="90" spans="1:40" x14ac:dyDescent="0.25">
      <c r="A90" s="7" t="s">
        <v>15</v>
      </c>
      <c r="B90" s="10">
        <v>26</v>
      </c>
      <c r="C90" s="10">
        <v>38</v>
      </c>
      <c r="D90" s="35">
        <v>40</v>
      </c>
      <c r="E90" s="10">
        <v>504</v>
      </c>
      <c r="F90" s="10">
        <v>152</v>
      </c>
      <c r="G90" s="10">
        <v>30.2</v>
      </c>
      <c r="H90" s="10">
        <v>13.26</v>
      </c>
      <c r="I90" s="10">
        <v>4</v>
      </c>
      <c r="J90" s="10">
        <v>0.08</v>
      </c>
      <c r="K90" s="10">
        <v>0.25</v>
      </c>
      <c r="L90" s="10">
        <v>16.7</v>
      </c>
      <c r="M90" s="10">
        <v>14</v>
      </c>
      <c r="N90" s="10">
        <v>2</v>
      </c>
      <c r="O90" s="10">
        <v>3</v>
      </c>
      <c r="P90" s="35">
        <v>54</v>
      </c>
      <c r="Q90" s="10">
        <v>51.6</v>
      </c>
      <c r="R90" s="10">
        <v>0.11</v>
      </c>
      <c r="S90" s="49">
        <v>-14</v>
      </c>
      <c r="T90" s="53">
        <v>-13.6</v>
      </c>
      <c r="W90" s="7" t="s">
        <v>15</v>
      </c>
      <c r="X90" s="10">
        <v>26</v>
      </c>
      <c r="Y90" s="10">
        <v>38</v>
      </c>
      <c r="Z90" s="10">
        <v>15514</v>
      </c>
      <c r="AA90" s="35">
        <v>13704</v>
      </c>
      <c r="AB90" s="10">
        <v>1721</v>
      </c>
      <c r="AC90" s="10">
        <v>409</v>
      </c>
      <c r="AD90" s="10">
        <v>45</v>
      </c>
      <c r="AE90" s="10">
        <v>78</v>
      </c>
      <c r="AF90" s="10">
        <v>752</v>
      </c>
      <c r="AG90" s="10">
        <v>768</v>
      </c>
      <c r="AH90" s="10">
        <v>181</v>
      </c>
      <c r="AI90" s="35">
        <v>140</v>
      </c>
      <c r="AJ90" s="10">
        <v>26</v>
      </c>
      <c r="AK90" s="10">
        <v>3</v>
      </c>
      <c r="AL90" s="35">
        <v>11349</v>
      </c>
      <c r="AM90" s="10">
        <v>89</v>
      </c>
      <c r="AN90" s="42">
        <v>347</v>
      </c>
    </row>
    <row r="91" spans="1:40" x14ac:dyDescent="0.25">
      <c r="A91" s="7" t="s">
        <v>27</v>
      </c>
      <c r="B91" s="10">
        <v>25</v>
      </c>
      <c r="C91" s="10">
        <v>38</v>
      </c>
      <c r="D91" s="35">
        <v>54</v>
      </c>
      <c r="E91" s="10">
        <v>499</v>
      </c>
      <c r="F91" s="10">
        <v>175</v>
      </c>
      <c r="G91" s="10">
        <v>35.1</v>
      </c>
      <c r="H91" s="10">
        <v>13.13</v>
      </c>
      <c r="I91" s="10">
        <v>4.6100000000000003</v>
      </c>
      <c r="J91" s="10">
        <v>0.1</v>
      </c>
      <c r="K91" s="10">
        <v>0.3</v>
      </c>
      <c r="L91" s="10">
        <v>17</v>
      </c>
      <c r="M91" s="10">
        <v>14</v>
      </c>
      <c r="N91" s="10">
        <v>2</v>
      </c>
      <c r="O91" s="10">
        <v>2</v>
      </c>
      <c r="P91" s="35">
        <v>50.8</v>
      </c>
      <c r="Q91" s="10">
        <v>49.2</v>
      </c>
      <c r="R91" s="10">
        <v>0.1</v>
      </c>
      <c r="S91" s="48">
        <v>3.2</v>
      </c>
      <c r="T91" s="52">
        <v>2.8</v>
      </c>
      <c r="W91" s="7" t="s">
        <v>27</v>
      </c>
      <c r="X91" s="10">
        <v>25</v>
      </c>
      <c r="Y91" s="10">
        <v>38</v>
      </c>
      <c r="Z91" s="10">
        <v>20237</v>
      </c>
      <c r="AA91" s="35">
        <v>18414</v>
      </c>
      <c r="AB91" s="10">
        <v>1772</v>
      </c>
      <c r="AC91" s="10">
        <v>464</v>
      </c>
      <c r="AD91" s="10">
        <v>58</v>
      </c>
      <c r="AE91" s="10">
        <v>118</v>
      </c>
      <c r="AF91" s="10">
        <v>736</v>
      </c>
      <c r="AG91" s="10">
        <v>696</v>
      </c>
      <c r="AH91" s="10">
        <v>212</v>
      </c>
      <c r="AI91" s="35">
        <v>70</v>
      </c>
      <c r="AJ91" s="10">
        <v>98</v>
      </c>
      <c r="AK91" s="10">
        <v>1</v>
      </c>
      <c r="AL91" s="35">
        <v>16311</v>
      </c>
      <c r="AM91" s="10">
        <v>51</v>
      </c>
      <c r="AN91" s="42">
        <v>421</v>
      </c>
    </row>
    <row r="92" spans="1:40" x14ac:dyDescent="0.25">
      <c r="A92" s="7" t="s">
        <v>1</v>
      </c>
      <c r="B92" s="10">
        <v>30</v>
      </c>
      <c r="C92" s="10">
        <v>38</v>
      </c>
      <c r="D92" s="35">
        <v>80</v>
      </c>
      <c r="E92" s="10">
        <v>781</v>
      </c>
      <c r="F92" s="10">
        <v>263</v>
      </c>
      <c r="G92" s="10">
        <v>33.700000000000003</v>
      </c>
      <c r="H92" s="10">
        <v>20.55</v>
      </c>
      <c r="I92" s="10">
        <v>6.92</v>
      </c>
      <c r="J92" s="10">
        <v>0.09</v>
      </c>
      <c r="K92" s="10">
        <v>0.28000000000000003</v>
      </c>
      <c r="L92" s="10">
        <v>17.2</v>
      </c>
      <c r="M92" s="10">
        <v>18</v>
      </c>
      <c r="N92" s="10">
        <v>6</v>
      </c>
      <c r="O92" s="10">
        <v>9</v>
      </c>
      <c r="P92" s="35">
        <v>87.8</v>
      </c>
      <c r="Q92" s="10">
        <v>80.400000000000006</v>
      </c>
      <c r="R92" s="10">
        <v>0.11</v>
      </c>
      <c r="S92" s="49">
        <v>-7.8</v>
      </c>
      <c r="T92" s="53">
        <v>-6.4</v>
      </c>
      <c r="W92" s="7" t="s">
        <v>1</v>
      </c>
      <c r="X92" s="10">
        <v>30</v>
      </c>
      <c r="Y92" s="10">
        <v>38</v>
      </c>
      <c r="Z92" s="10">
        <v>24379</v>
      </c>
      <c r="AA92" s="35">
        <v>22490</v>
      </c>
      <c r="AB92" s="10">
        <v>1789</v>
      </c>
      <c r="AC92" s="10">
        <v>440</v>
      </c>
      <c r="AD92" s="10">
        <v>102</v>
      </c>
      <c r="AE92" s="10">
        <v>145</v>
      </c>
      <c r="AF92" s="10">
        <v>817</v>
      </c>
      <c r="AG92" s="10">
        <v>755</v>
      </c>
      <c r="AH92" s="10">
        <v>287</v>
      </c>
      <c r="AI92" s="35">
        <v>86</v>
      </c>
      <c r="AJ92" s="10">
        <v>171</v>
      </c>
      <c r="AK92" s="10">
        <v>2</v>
      </c>
      <c r="AL92" s="35">
        <v>20376</v>
      </c>
      <c r="AM92" s="10">
        <v>100</v>
      </c>
      <c r="AN92" s="42">
        <v>371</v>
      </c>
    </row>
    <row r="93" spans="1:40" x14ac:dyDescent="0.25">
      <c r="A93" s="7" t="s">
        <v>149</v>
      </c>
      <c r="B93" s="10">
        <v>28</v>
      </c>
      <c r="C93" s="10">
        <v>38</v>
      </c>
      <c r="D93" s="35">
        <v>49</v>
      </c>
      <c r="E93" s="10">
        <v>427</v>
      </c>
      <c r="F93" s="10">
        <v>134</v>
      </c>
      <c r="G93" s="10">
        <v>31.4</v>
      </c>
      <c r="H93" s="10">
        <v>11.24</v>
      </c>
      <c r="I93" s="10">
        <v>3.53</v>
      </c>
      <c r="J93" s="10">
        <v>0.1</v>
      </c>
      <c r="K93" s="10">
        <v>0.33</v>
      </c>
      <c r="L93" s="10">
        <v>16.3</v>
      </c>
      <c r="M93" s="10">
        <v>11</v>
      </c>
      <c r="N93" s="10">
        <v>5</v>
      </c>
      <c r="O93" s="10">
        <v>5</v>
      </c>
      <c r="P93" s="35">
        <v>42.4</v>
      </c>
      <c r="Q93" s="10">
        <v>38.6</v>
      </c>
      <c r="R93" s="10">
        <v>0.09</v>
      </c>
      <c r="S93" s="48">
        <v>6.6</v>
      </c>
      <c r="T93" s="52">
        <v>5.4</v>
      </c>
      <c r="W93" s="7" t="s">
        <v>149</v>
      </c>
      <c r="X93" s="10">
        <v>28</v>
      </c>
      <c r="Y93" s="10">
        <v>38</v>
      </c>
      <c r="Z93" s="10">
        <v>15099</v>
      </c>
      <c r="AA93" s="35">
        <v>13156</v>
      </c>
      <c r="AB93" s="10">
        <v>1876</v>
      </c>
      <c r="AC93" s="10">
        <v>498</v>
      </c>
      <c r="AD93" s="10">
        <v>22</v>
      </c>
      <c r="AE93" s="10">
        <v>111</v>
      </c>
      <c r="AF93" s="10">
        <v>841</v>
      </c>
      <c r="AG93" s="10">
        <v>703</v>
      </c>
      <c r="AH93" s="10">
        <v>203</v>
      </c>
      <c r="AI93" s="35">
        <v>93</v>
      </c>
      <c r="AJ93" s="10">
        <v>101</v>
      </c>
      <c r="AK93" s="10">
        <v>5</v>
      </c>
      <c r="AL93" s="35">
        <v>11048</v>
      </c>
      <c r="AM93" s="10">
        <v>67</v>
      </c>
      <c r="AN93" s="42">
        <v>413</v>
      </c>
    </row>
    <row r="94" spans="1:40" x14ac:dyDescent="0.25">
      <c r="A94" s="7" t="s">
        <v>25</v>
      </c>
      <c r="B94" s="10">
        <v>25</v>
      </c>
      <c r="C94" s="10">
        <v>38</v>
      </c>
      <c r="D94" s="35">
        <v>94</v>
      </c>
      <c r="E94" s="10">
        <v>683</v>
      </c>
      <c r="F94" s="10">
        <v>264</v>
      </c>
      <c r="G94" s="10">
        <v>38.700000000000003</v>
      </c>
      <c r="H94" s="10">
        <v>17.97</v>
      </c>
      <c r="I94" s="10">
        <v>6.95</v>
      </c>
      <c r="J94" s="10">
        <v>0.12</v>
      </c>
      <c r="K94" s="10">
        <v>0.32</v>
      </c>
      <c r="L94" s="10">
        <v>17.100000000000001</v>
      </c>
      <c r="M94" s="10">
        <v>25</v>
      </c>
      <c r="N94" s="10">
        <v>9</v>
      </c>
      <c r="O94" s="10">
        <v>10</v>
      </c>
      <c r="P94" s="35">
        <v>80.5</v>
      </c>
      <c r="Q94" s="10">
        <v>72.900000000000006</v>
      </c>
      <c r="R94" s="10">
        <v>0.11</v>
      </c>
      <c r="S94" s="48">
        <v>13.5</v>
      </c>
      <c r="T94" s="52">
        <v>12.1</v>
      </c>
      <c r="W94" s="7" t="s">
        <v>25</v>
      </c>
      <c r="X94" s="10">
        <v>25</v>
      </c>
      <c r="Y94" s="10">
        <v>38</v>
      </c>
      <c r="Z94" s="10">
        <v>27758</v>
      </c>
      <c r="AA94" s="35">
        <v>26136</v>
      </c>
      <c r="AB94" s="10">
        <v>1580</v>
      </c>
      <c r="AC94" s="10">
        <v>460</v>
      </c>
      <c r="AD94" s="10">
        <v>85</v>
      </c>
      <c r="AE94" s="10">
        <v>133</v>
      </c>
      <c r="AF94" s="10">
        <v>700</v>
      </c>
      <c r="AG94" s="10">
        <v>604</v>
      </c>
      <c r="AH94" s="10">
        <v>286</v>
      </c>
      <c r="AI94" s="35">
        <v>114</v>
      </c>
      <c r="AJ94" s="10">
        <v>66</v>
      </c>
      <c r="AK94" s="10">
        <v>7</v>
      </c>
      <c r="AL94" s="35">
        <v>24616</v>
      </c>
      <c r="AM94" s="10">
        <v>42</v>
      </c>
      <c r="AN94" s="42">
        <v>383</v>
      </c>
    </row>
    <row r="95" spans="1:40" x14ac:dyDescent="0.25">
      <c r="A95" s="7" t="s">
        <v>268</v>
      </c>
      <c r="B95" s="10">
        <v>31</v>
      </c>
      <c r="C95" s="10">
        <v>38</v>
      </c>
      <c r="D95" s="35">
        <v>57</v>
      </c>
      <c r="E95" s="10">
        <v>543</v>
      </c>
      <c r="F95" s="10">
        <v>182</v>
      </c>
      <c r="G95" s="10">
        <v>33.5</v>
      </c>
      <c r="H95" s="10">
        <v>14.29</v>
      </c>
      <c r="I95" s="10">
        <v>4.79</v>
      </c>
      <c r="J95" s="10">
        <v>0.09</v>
      </c>
      <c r="K95" s="10">
        <v>0.28000000000000003</v>
      </c>
      <c r="L95" s="10">
        <v>17.399999999999999</v>
      </c>
      <c r="M95" s="10">
        <v>15</v>
      </c>
      <c r="N95" s="10">
        <v>6</v>
      </c>
      <c r="O95" s="10">
        <v>7</v>
      </c>
      <c r="P95" s="35">
        <v>56.5</v>
      </c>
      <c r="Q95" s="10">
        <v>51</v>
      </c>
      <c r="R95" s="10">
        <v>0.1</v>
      </c>
      <c r="S95" s="48">
        <v>0.5</v>
      </c>
      <c r="T95" s="42">
        <v>0</v>
      </c>
      <c r="W95" s="7" t="s">
        <v>268</v>
      </c>
      <c r="X95" s="10">
        <v>31</v>
      </c>
      <c r="Y95" s="10">
        <v>38</v>
      </c>
      <c r="Z95" s="10">
        <v>19538</v>
      </c>
      <c r="AA95" s="35">
        <v>17784</v>
      </c>
      <c r="AB95" s="10">
        <v>1663</v>
      </c>
      <c r="AC95" s="10">
        <v>371</v>
      </c>
      <c r="AD95" s="10">
        <v>73</v>
      </c>
      <c r="AE95" s="10">
        <v>99</v>
      </c>
      <c r="AF95" s="10">
        <v>594</v>
      </c>
      <c r="AG95" s="10">
        <v>643</v>
      </c>
      <c r="AH95" s="10">
        <v>224</v>
      </c>
      <c r="AI95" s="35">
        <v>70</v>
      </c>
      <c r="AJ95" s="10">
        <v>86</v>
      </c>
      <c r="AK95" s="10">
        <v>10</v>
      </c>
      <c r="AL95" s="35">
        <v>15785</v>
      </c>
      <c r="AM95" s="10">
        <v>91</v>
      </c>
      <c r="AN95" s="42">
        <v>372</v>
      </c>
    </row>
    <row r="96" spans="1:40" x14ac:dyDescent="0.25">
      <c r="A96" s="7" t="s">
        <v>269</v>
      </c>
      <c r="B96" s="10">
        <v>32</v>
      </c>
      <c r="C96" s="10">
        <v>38</v>
      </c>
      <c r="D96" s="35">
        <v>83</v>
      </c>
      <c r="E96" s="10">
        <v>542</v>
      </c>
      <c r="F96" s="10">
        <v>196</v>
      </c>
      <c r="G96" s="10">
        <v>36.200000000000003</v>
      </c>
      <c r="H96" s="10">
        <v>14.26</v>
      </c>
      <c r="I96" s="10">
        <v>5.16</v>
      </c>
      <c r="J96" s="10">
        <v>0.14000000000000001</v>
      </c>
      <c r="K96" s="10">
        <v>0.38</v>
      </c>
      <c r="L96" s="10">
        <v>15.7</v>
      </c>
      <c r="M96" s="10">
        <v>9</v>
      </c>
      <c r="N96" s="10">
        <v>8</v>
      </c>
      <c r="O96" s="10">
        <v>9</v>
      </c>
      <c r="P96" s="35">
        <v>76</v>
      </c>
      <c r="Q96" s="10">
        <v>69</v>
      </c>
      <c r="R96" s="10">
        <v>0.13</v>
      </c>
      <c r="S96" s="48">
        <v>7</v>
      </c>
      <c r="T96" s="52">
        <v>6</v>
      </c>
      <c r="W96" s="7" t="s">
        <v>269</v>
      </c>
      <c r="X96" s="10">
        <v>32</v>
      </c>
      <c r="Y96" s="10">
        <v>38</v>
      </c>
      <c r="Z96" s="10">
        <v>19852</v>
      </c>
      <c r="AA96" s="35">
        <v>18026</v>
      </c>
      <c r="AB96" s="10">
        <v>1767</v>
      </c>
      <c r="AC96" s="10">
        <v>515</v>
      </c>
      <c r="AD96" s="10">
        <v>85</v>
      </c>
      <c r="AE96" s="10">
        <v>133</v>
      </c>
      <c r="AF96" s="10">
        <v>648</v>
      </c>
      <c r="AG96" s="10">
        <v>679</v>
      </c>
      <c r="AH96" s="10">
        <v>192</v>
      </c>
      <c r="AI96" s="35">
        <v>75</v>
      </c>
      <c r="AJ96" s="10">
        <v>60</v>
      </c>
      <c r="AK96" s="10">
        <v>9</v>
      </c>
      <c r="AL96" s="35">
        <v>16117</v>
      </c>
      <c r="AM96" s="10">
        <v>59</v>
      </c>
      <c r="AN96" s="42">
        <v>364</v>
      </c>
    </row>
    <row r="97" spans="1:40" x14ac:dyDescent="0.25">
      <c r="A97" s="7" t="s">
        <v>91</v>
      </c>
      <c r="B97" s="10">
        <v>33</v>
      </c>
      <c r="C97" s="10">
        <v>38</v>
      </c>
      <c r="D97" s="35">
        <v>49</v>
      </c>
      <c r="E97" s="10">
        <v>450</v>
      </c>
      <c r="F97" s="10">
        <v>143</v>
      </c>
      <c r="G97" s="10">
        <v>31.8</v>
      </c>
      <c r="H97" s="10">
        <v>11.84</v>
      </c>
      <c r="I97" s="10">
        <v>3.76</v>
      </c>
      <c r="J97" s="10">
        <v>0.11</v>
      </c>
      <c r="K97" s="10">
        <v>0.34</v>
      </c>
      <c r="L97" s="10">
        <v>17.2</v>
      </c>
      <c r="M97" s="10">
        <v>7</v>
      </c>
      <c r="N97" s="10">
        <v>1</v>
      </c>
      <c r="O97" s="10">
        <v>1</v>
      </c>
      <c r="P97" s="35">
        <v>49.9</v>
      </c>
      <c r="Q97" s="10">
        <v>49.1</v>
      </c>
      <c r="R97" s="10">
        <v>0.11</v>
      </c>
      <c r="S97" s="49">
        <v>-0.9</v>
      </c>
      <c r="T97" s="53">
        <v>-1.1000000000000001</v>
      </c>
      <c r="W97" s="7" t="s">
        <v>91</v>
      </c>
      <c r="X97" s="10">
        <v>33</v>
      </c>
      <c r="Y97" s="10">
        <v>38</v>
      </c>
      <c r="Z97" s="10">
        <v>15673</v>
      </c>
      <c r="AA97" s="35">
        <v>13969</v>
      </c>
      <c r="AB97" s="10">
        <v>1627</v>
      </c>
      <c r="AC97" s="10">
        <v>409</v>
      </c>
      <c r="AD97" s="10">
        <v>53</v>
      </c>
      <c r="AE97" s="10">
        <v>83</v>
      </c>
      <c r="AF97" s="10">
        <v>595</v>
      </c>
      <c r="AG97" s="10">
        <v>661</v>
      </c>
      <c r="AH97" s="10">
        <v>148</v>
      </c>
      <c r="AI97" s="35">
        <v>80</v>
      </c>
      <c r="AJ97" s="10">
        <v>55</v>
      </c>
      <c r="AK97" s="10">
        <v>0</v>
      </c>
      <c r="AL97" s="35">
        <v>11873</v>
      </c>
      <c r="AM97" s="10">
        <v>77</v>
      </c>
      <c r="AN97" s="42">
        <v>315</v>
      </c>
    </row>
    <row r="98" spans="1:40" x14ac:dyDescent="0.25">
      <c r="A98" s="7" t="s">
        <v>103</v>
      </c>
      <c r="B98" s="10">
        <v>35</v>
      </c>
      <c r="C98" s="10">
        <v>38</v>
      </c>
      <c r="D98" s="35">
        <v>31</v>
      </c>
      <c r="E98" s="10">
        <v>360</v>
      </c>
      <c r="F98" s="10">
        <v>117</v>
      </c>
      <c r="G98" s="10">
        <v>32.5</v>
      </c>
      <c r="H98" s="10">
        <v>9.4700000000000006</v>
      </c>
      <c r="I98" s="10">
        <v>3.08</v>
      </c>
      <c r="J98" s="10">
        <v>7.0000000000000007E-2</v>
      </c>
      <c r="K98" s="10">
        <v>0.22</v>
      </c>
      <c r="L98" s="10">
        <v>17.399999999999999</v>
      </c>
      <c r="M98" s="10">
        <v>8</v>
      </c>
      <c r="N98" s="10">
        <v>5</v>
      </c>
      <c r="O98" s="10">
        <v>5</v>
      </c>
      <c r="P98" s="35">
        <v>38.299999999999997</v>
      </c>
      <c r="Q98" s="10">
        <v>34.4</v>
      </c>
      <c r="R98" s="10">
        <v>0.1</v>
      </c>
      <c r="S98" s="49">
        <v>-7.3</v>
      </c>
      <c r="T98" s="53">
        <v>-8.4</v>
      </c>
      <c r="W98" s="7" t="s">
        <v>103</v>
      </c>
      <c r="X98" s="10">
        <v>35</v>
      </c>
      <c r="Y98" s="10">
        <v>38</v>
      </c>
      <c r="Z98" s="10">
        <v>13498</v>
      </c>
      <c r="AA98" s="35">
        <v>11753</v>
      </c>
      <c r="AB98" s="10">
        <v>1681</v>
      </c>
      <c r="AC98" s="10">
        <v>380</v>
      </c>
      <c r="AD98" s="10">
        <v>25</v>
      </c>
      <c r="AE98" s="10">
        <v>52</v>
      </c>
      <c r="AF98" s="10">
        <v>428</v>
      </c>
      <c r="AG98" s="10">
        <v>666</v>
      </c>
      <c r="AH98" s="10">
        <v>141</v>
      </c>
      <c r="AI98" s="35">
        <v>70</v>
      </c>
      <c r="AJ98" s="10">
        <v>47</v>
      </c>
      <c r="AK98" s="10">
        <v>6</v>
      </c>
      <c r="AL98" s="35">
        <v>9521</v>
      </c>
      <c r="AM98" s="10">
        <v>64</v>
      </c>
      <c r="AN98" s="42">
        <v>321</v>
      </c>
    </row>
    <row r="99" spans="1:40" x14ac:dyDescent="0.25">
      <c r="A99" s="7" t="s">
        <v>150</v>
      </c>
      <c r="B99" s="10">
        <v>29</v>
      </c>
      <c r="C99" s="10">
        <v>38</v>
      </c>
      <c r="D99" s="35">
        <v>69</v>
      </c>
      <c r="E99" s="10">
        <v>582</v>
      </c>
      <c r="F99" s="10">
        <v>207</v>
      </c>
      <c r="G99" s="10">
        <v>35.6</v>
      </c>
      <c r="H99" s="10">
        <v>15.32</v>
      </c>
      <c r="I99" s="10">
        <v>5.45</v>
      </c>
      <c r="J99" s="10">
        <v>0.12</v>
      </c>
      <c r="K99" s="10">
        <v>0.32</v>
      </c>
      <c r="L99" s="10">
        <v>16.5</v>
      </c>
      <c r="M99" s="10">
        <v>11</v>
      </c>
      <c r="N99" s="10">
        <v>2</v>
      </c>
      <c r="O99" s="10">
        <v>2</v>
      </c>
      <c r="P99" s="35">
        <v>68.2</v>
      </c>
      <c r="Q99" s="10">
        <v>66.7</v>
      </c>
      <c r="R99" s="10">
        <v>0.12</v>
      </c>
      <c r="S99" s="48">
        <v>0.8</v>
      </c>
      <c r="T99" s="52">
        <v>0.3</v>
      </c>
      <c r="W99" s="7" t="s">
        <v>150</v>
      </c>
      <c r="X99" s="10">
        <v>29</v>
      </c>
      <c r="Y99" s="10">
        <v>38</v>
      </c>
      <c r="Z99" s="10">
        <v>24197</v>
      </c>
      <c r="AA99" s="35">
        <v>22167</v>
      </c>
      <c r="AB99" s="10">
        <v>1947</v>
      </c>
      <c r="AC99" s="10">
        <v>636</v>
      </c>
      <c r="AD99" s="10">
        <v>91</v>
      </c>
      <c r="AE99" s="10">
        <v>59</v>
      </c>
      <c r="AF99" s="10">
        <v>710</v>
      </c>
      <c r="AG99" s="10">
        <v>723</v>
      </c>
      <c r="AH99" s="10">
        <v>234</v>
      </c>
      <c r="AI99" s="35">
        <v>93</v>
      </c>
      <c r="AJ99" s="10">
        <v>70</v>
      </c>
      <c r="AK99" s="10">
        <v>1</v>
      </c>
      <c r="AL99" s="35">
        <v>20649</v>
      </c>
      <c r="AM99" s="10">
        <v>83</v>
      </c>
      <c r="AN99" s="42">
        <v>480</v>
      </c>
    </row>
    <row r="100" spans="1:40" x14ac:dyDescent="0.25">
      <c r="A100" s="7" t="s">
        <v>151</v>
      </c>
      <c r="B100" s="10">
        <v>26</v>
      </c>
      <c r="C100" s="10">
        <v>38</v>
      </c>
      <c r="D100" s="35">
        <v>58</v>
      </c>
      <c r="E100" s="10">
        <v>445</v>
      </c>
      <c r="F100" s="10">
        <v>146</v>
      </c>
      <c r="G100" s="10">
        <v>32.799999999999997</v>
      </c>
      <c r="H100" s="10">
        <v>11.71</v>
      </c>
      <c r="I100" s="10">
        <v>3.84</v>
      </c>
      <c r="J100" s="10">
        <v>0.12</v>
      </c>
      <c r="K100" s="10">
        <v>0.37</v>
      </c>
      <c r="L100" s="10">
        <v>16.2</v>
      </c>
      <c r="M100" s="10">
        <v>17</v>
      </c>
      <c r="N100" s="10">
        <v>4</v>
      </c>
      <c r="O100" s="10">
        <v>5</v>
      </c>
      <c r="P100" s="35">
        <v>52.3</v>
      </c>
      <c r="Q100" s="10">
        <v>48.4</v>
      </c>
      <c r="R100" s="10">
        <v>0.11</v>
      </c>
      <c r="S100" s="48">
        <v>5.7</v>
      </c>
      <c r="T100" s="52">
        <v>5.6</v>
      </c>
      <c r="W100" s="7" t="s">
        <v>151</v>
      </c>
      <c r="X100" s="10">
        <v>26</v>
      </c>
      <c r="Y100" s="10">
        <v>38</v>
      </c>
      <c r="Z100" s="10">
        <v>16373</v>
      </c>
      <c r="AA100" s="35">
        <v>14568</v>
      </c>
      <c r="AB100" s="10">
        <v>1734</v>
      </c>
      <c r="AC100" s="10">
        <v>429</v>
      </c>
      <c r="AD100" s="10">
        <v>60</v>
      </c>
      <c r="AE100" s="10">
        <v>158</v>
      </c>
      <c r="AF100" s="10">
        <v>661</v>
      </c>
      <c r="AG100" s="10">
        <v>721</v>
      </c>
      <c r="AH100" s="10">
        <v>165</v>
      </c>
      <c r="AI100" s="35">
        <v>93</v>
      </c>
      <c r="AJ100" s="10">
        <v>61</v>
      </c>
      <c r="AK100" s="10">
        <v>0</v>
      </c>
      <c r="AL100" s="35">
        <v>12568</v>
      </c>
      <c r="AM100" s="10">
        <v>71</v>
      </c>
      <c r="AN100" s="42">
        <v>411</v>
      </c>
    </row>
    <row r="101" spans="1:40" x14ac:dyDescent="0.25">
      <c r="A101" s="54" t="s">
        <v>153</v>
      </c>
      <c r="B101" s="14">
        <v>27</v>
      </c>
      <c r="C101" s="14">
        <v>38</v>
      </c>
      <c r="D101" s="55">
        <v>47</v>
      </c>
      <c r="E101" s="14">
        <v>425</v>
      </c>
      <c r="F101" s="14">
        <v>153</v>
      </c>
      <c r="G101" s="14">
        <v>36</v>
      </c>
      <c r="H101" s="14">
        <v>11.18</v>
      </c>
      <c r="I101" s="14">
        <v>4.03</v>
      </c>
      <c r="J101" s="14">
        <v>0.1</v>
      </c>
      <c r="K101" s="14">
        <v>0.28000000000000003</v>
      </c>
      <c r="L101" s="14">
        <v>16.7</v>
      </c>
      <c r="M101" s="14">
        <v>12</v>
      </c>
      <c r="N101" s="14">
        <v>4</v>
      </c>
      <c r="O101" s="14">
        <v>4</v>
      </c>
      <c r="P101" s="55">
        <v>46.7</v>
      </c>
      <c r="Q101" s="14">
        <v>43.6</v>
      </c>
      <c r="R101" s="14">
        <v>0.11</v>
      </c>
      <c r="S101" s="56">
        <v>0.3</v>
      </c>
      <c r="T101" s="57">
        <v>-0.6</v>
      </c>
      <c r="W101" s="64" t="s">
        <v>153</v>
      </c>
      <c r="X101" s="12">
        <v>27</v>
      </c>
      <c r="Y101" s="12">
        <v>38</v>
      </c>
      <c r="Z101" s="12">
        <v>19175</v>
      </c>
      <c r="AA101" s="47">
        <v>17409</v>
      </c>
      <c r="AB101" s="12">
        <v>1688</v>
      </c>
      <c r="AC101" s="12">
        <v>439</v>
      </c>
      <c r="AD101" s="12">
        <v>49</v>
      </c>
      <c r="AE101" s="12">
        <v>125</v>
      </c>
      <c r="AF101" s="12">
        <v>578</v>
      </c>
      <c r="AG101" s="12">
        <v>684</v>
      </c>
      <c r="AH101" s="12">
        <v>156</v>
      </c>
      <c r="AI101" s="47">
        <v>75</v>
      </c>
      <c r="AJ101" s="12">
        <v>41</v>
      </c>
      <c r="AK101" s="12">
        <v>15</v>
      </c>
      <c r="AL101" s="47">
        <v>15484</v>
      </c>
      <c r="AM101" s="12">
        <v>78</v>
      </c>
      <c r="AN101" s="65">
        <v>333</v>
      </c>
    </row>
    <row r="103" spans="1:40" ht="16.5" thickBot="1" x14ac:dyDescent="0.3"/>
    <row r="104" spans="1:40" ht="16.5" thickBot="1" x14ac:dyDescent="0.3">
      <c r="A104" s="50" t="s">
        <v>244</v>
      </c>
      <c r="B104" s="60" t="s">
        <v>245</v>
      </c>
      <c r="C104" s="60" t="s">
        <v>251</v>
      </c>
      <c r="D104" s="51" t="s">
        <v>297</v>
      </c>
      <c r="E104" s="60" t="s">
        <v>298</v>
      </c>
      <c r="F104" s="60" t="s">
        <v>299</v>
      </c>
      <c r="G104" s="60" t="s">
        <v>300</v>
      </c>
      <c r="H104" s="60" t="s">
        <v>301</v>
      </c>
      <c r="I104" s="51" t="s">
        <v>297</v>
      </c>
      <c r="J104" s="60" t="s">
        <v>283</v>
      </c>
      <c r="K104" s="60" t="s">
        <v>302</v>
      </c>
      <c r="L104" s="60" t="s">
        <v>303</v>
      </c>
      <c r="M104" s="51" t="s">
        <v>296</v>
      </c>
      <c r="N104" s="60" t="s">
        <v>271</v>
      </c>
      <c r="O104" s="60" t="s">
        <v>304</v>
      </c>
      <c r="P104" s="51" t="s">
        <v>305</v>
      </c>
      <c r="Q104" s="60" t="s">
        <v>306</v>
      </c>
      <c r="R104" s="60" t="s">
        <v>307</v>
      </c>
      <c r="S104" s="61" t="s">
        <v>308</v>
      </c>
    </row>
    <row r="105" spans="1:40" x14ac:dyDescent="0.25">
      <c r="A105" s="7" t="s">
        <v>6</v>
      </c>
      <c r="B105" s="10">
        <v>25</v>
      </c>
      <c r="C105" s="10">
        <v>38</v>
      </c>
      <c r="D105" s="35">
        <v>610</v>
      </c>
      <c r="E105" s="10">
        <v>348</v>
      </c>
      <c r="F105" s="10">
        <v>257</v>
      </c>
      <c r="G105" s="10">
        <v>246</v>
      </c>
      <c r="H105" s="10">
        <v>107</v>
      </c>
      <c r="I105" s="35">
        <v>271</v>
      </c>
      <c r="J105" s="10">
        <v>543</v>
      </c>
      <c r="K105" s="10">
        <v>49.9</v>
      </c>
      <c r="L105" s="10">
        <v>272</v>
      </c>
      <c r="M105" s="35">
        <v>412</v>
      </c>
      <c r="N105" s="10">
        <v>106</v>
      </c>
      <c r="O105" s="10">
        <v>306</v>
      </c>
      <c r="P105" s="35">
        <v>292</v>
      </c>
      <c r="Q105" s="10">
        <v>902</v>
      </c>
      <c r="R105" s="10">
        <v>515</v>
      </c>
      <c r="S105" s="42">
        <v>18</v>
      </c>
    </row>
    <row r="106" spans="1:40" x14ac:dyDescent="0.25">
      <c r="A106" s="7" t="s">
        <v>8</v>
      </c>
      <c r="B106" s="10">
        <v>31</v>
      </c>
      <c r="C106" s="10">
        <v>38</v>
      </c>
      <c r="D106" s="35">
        <v>547</v>
      </c>
      <c r="E106" s="10">
        <v>311</v>
      </c>
      <c r="F106" s="10">
        <v>269</v>
      </c>
      <c r="G106" s="10">
        <v>210</v>
      </c>
      <c r="H106" s="10">
        <v>68</v>
      </c>
      <c r="I106" s="35">
        <v>260</v>
      </c>
      <c r="J106" s="10">
        <v>550</v>
      </c>
      <c r="K106" s="10">
        <v>47.3</v>
      </c>
      <c r="L106" s="10">
        <v>290</v>
      </c>
      <c r="M106" s="35">
        <v>389</v>
      </c>
      <c r="N106" s="10">
        <v>113</v>
      </c>
      <c r="O106" s="10">
        <v>276</v>
      </c>
      <c r="P106" s="35">
        <v>236</v>
      </c>
      <c r="Q106" s="10">
        <v>783</v>
      </c>
      <c r="R106" s="10">
        <v>597</v>
      </c>
      <c r="S106" s="42">
        <v>13</v>
      </c>
    </row>
    <row r="107" spans="1:40" x14ac:dyDescent="0.25">
      <c r="A107" s="7" t="s">
        <v>85</v>
      </c>
      <c r="B107" s="10">
        <v>30</v>
      </c>
      <c r="C107" s="10">
        <v>38</v>
      </c>
      <c r="D107" s="35">
        <v>693</v>
      </c>
      <c r="E107" s="10">
        <v>410</v>
      </c>
      <c r="F107" s="10">
        <v>301</v>
      </c>
      <c r="G107" s="10">
        <v>281</v>
      </c>
      <c r="H107" s="10">
        <v>111</v>
      </c>
      <c r="I107" s="35">
        <v>325</v>
      </c>
      <c r="J107" s="10">
        <v>688</v>
      </c>
      <c r="K107" s="10">
        <v>47.2</v>
      </c>
      <c r="L107" s="10">
        <v>363</v>
      </c>
      <c r="M107" s="35">
        <v>504</v>
      </c>
      <c r="N107" s="10">
        <v>153</v>
      </c>
      <c r="O107" s="10">
        <v>351</v>
      </c>
      <c r="P107" s="35">
        <v>357</v>
      </c>
      <c r="Q107" s="10">
        <v>1050</v>
      </c>
      <c r="R107" s="10">
        <v>817</v>
      </c>
      <c r="S107" s="42">
        <v>16</v>
      </c>
    </row>
    <row r="108" spans="1:40" x14ac:dyDescent="0.25">
      <c r="A108" s="7" t="s">
        <v>10</v>
      </c>
      <c r="B108" s="10">
        <v>28</v>
      </c>
      <c r="C108" s="10">
        <v>38</v>
      </c>
      <c r="D108" s="35">
        <v>677</v>
      </c>
      <c r="E108" s="10">
        <v>399</v>
      </c>
      <c r="F108" s="10">
        <v>349</v>
      </c>
      <c r="G108" s="10">
        <v>250</v>
      </c>
      <c r="H108" s="10">
        <v>78</v>
      </c>
      <c r="I108" s="35">
        <v>317</v>
      </c>
      <c r="J108" s="10">
        <v>697</v>
      </c>
      <c r="K108" s="10">
        <v>45.5</v>
      </c>
      <c r="L108" s="10">
        <v>380</v>
      </c>
      <c r="M108" s="35">
        <v>474</v>
      </c>
      <c r="N108" s="10">
        <v>142</v>
      </c>
      <c r="O108" s="10">
        <v>332</v>
      </c>
      <c r="P108" s="35">
        <v>378</v>
      </c>
      <c r="Q108" s="10">
        <v>1055</v>
      </c>
      <c r="R108" s="10">
        <v>903</v>
      </c>
      <c r="S108" s="42">
        <v>18</v>
      </c>
    </row>
    <row r="109" spans="1:40" x14ac:dyDescent="0.25">
      <c r="A109" s="7" t="s">
        <v>152</v>
      </c>
      <c r="B109" s="10">
        <v>30</v>
      </c>
      <c r="C109" s="10">
        <v>38</v>
      </c>
      <c r="D109" s="35">
        <v>644</v>
      </c>
      <c r="E109" s="10">
        <v>366</v>
      </c>
      <c r="F109" s="10">
        <v>292</v>
      </c>
      <c r="G109" s="10">
        <v>252</v>
      </c>
      <c r="H109" s="10">
        <v>100</v>
      </c>
      <c r="I109" s="35">
        <v>307</v>
      </c>
      <c r="J109" s="10">
        <v>658</v>
      </c>
      <c r="K109" s="10">
        <v>46.7</v>
      </c>
      <c r="L109" s="10">
        <v>351</v>
      </c>
      <c r="M109" s="35">
        <v>437</v>
      </c>
      <c r="N109" s="10">
        <v>140</v>
      </c>
      <c r="O109" s="10">
        <v>297</v>
      </c>
      <c r="P109" s="35">
        <v>288</v>
      </c>
      <c r="Q109" s="10">
        <v>932</v>
      </c>
      <c r="R109" s="10">
        <v>603</v>
      </c>
      <c r="S109" s="42">
        <v>21</v>
      </c>
    </row>
    <row r="110" spans="1:40" x14ac:dyDescent="0.25">
      <c r="A110" s="7" t="s">
        <v>17</v>
      </c>
      <c r="B110" s="10">
        <v>31</v>
      </c>
      <c r="C110" s="10">
        <v>38</v>
      </c>
      <c r="D110" s="35">
        <v>607</v>
      </c>
      <c r="E110" s="10">
        <v>342</v>
      </c>
      <c r="F110" s="10">
        <v>282</v>
      </c>
      <c r="G110" s="10">
        <v>247</v>
      </c>
      <c r="H110" s="10">
        <v>78</v>
      </c>
      <c r="I110" s="35">
        <v>284</v>
      </c>
      <c r="J110" s="10">
        <v>584</v>
      </c>
      <c r="K110" s="10">
        <v>48.6</v>
      </c>
      <c r="L110" s="10">
        <v>300</v>
      </c>
      <c r="M110" s="35">
        <v>477</v>
      </c>
      <c r="N110" s="10">
        <v>169</v>
      </c>
      <c r="O110" s="10">
        <v>308</v>
      </c>
      <c r="P110" s="35">
        <v>280</v>
      </c>
      <c r="Q110" s="10">
        <v>887</v>
      </c>
      <c r="R110" s="10">
        <v>837</v>
      </c>
      <c r="S110" s="42">
        <v>22</v>
      </c>
    </row>
    <row r="111" spans="1:40" x14ac:dyDescent="0.25">
      <c r="A111" s="7" t="s">
        <v>2</v>
      </c>
      <c r="B111" s="10">
        <v>32</v>
      </c>
      <c r="C111" s="10">
        <v>38</v>
      </c>
      <c r="D111" s="35">
        <v>663</v>
      </c>
      <c r="E111" s="10">
        <v>376</v>
      </c>
      <c r="F111" s="10">
        <v>325</v>
      </c>
      <c r="G111" s="10">
        <v>235</v>
      </c>
      <c r="H111" s="10">
        <v>103</v>
      </c>
      <c r="I111" s="35">
        <v>323</v>
      </c>
      <c r="J111" s="10">
        <v>630</v>
      </c>
      <c r="K111" s="10">
        <v>51.3</v>
      </c>
      <c r="L111" s="10">
        <v>307</v>
      </c>
      <c r="M111" s="35">
        <v>448</v>
      </c>
      <c r="N111" s="10">
        <v>166</v>
      </c>
      <c r="O111" s="10">
        <v>282</v>
      </c>
      <c r="P111" s="35">
        <v>298</v>
      </c>
      <c r="Q111" s="10">
        <v>961</v>
      </c>
      <c r="R111" s="10">
        <v>785</v>
      </c>
      <c r="S111" s="42">
        <v>24</v>
      </c>
    </row>
    <row r="112" spans="1:40" x14ac:dyDescent="0.25">
      <c r="A112" s="66" t="s">
        <v>9</v>
      </c>
      <c r="B112" s="11">
        <v>26</v>
      </c>
      <c r="C112" s="11">
        <v>38</v>
      </c>
      <c r="D112" s="37">
        <v>788</v>
      </c>
      <c r="E112" s="11">
        <v>464</v>
      </c>
      <c r="F112" s="11">
        <v>373</v>
      </c>
      <c r="G112" s="11">
        <v>301</v>
      </c>
      <c r="H112" s="11">
        <v>114</v>
      </c>
      <c r="I112" s="37">
        <v>337</v>
      </c>
      <c r="J112" s="11">
        <v>609</v>
      </c>
      <c r="K112" s="11">
        <v>55.3</v>
      </c>
      <c r="L112" s="11">
        <v>272</v>
      </c>
      <c r="M112" s="37">
        <v>456</v>
      </c>
      <c r="N112" s="11">
        <v>122</v>
      </c>
      <c r="O112" s="11">
        <v>334</v>
      </c>
      <c r="P112" s="37">
        <v>323</v>
      </c>
      <c r="Q112" s="11">
        <v>1111</v>
      </c>
      <c r="R112" s="11">
        <v>927</v>
      </c>
      <c r="S112" s="44">
        <v>6</v>
      </c>
    </row>
    <row r="113" spans="1:19" x14ac:dyDescent="0.25">
      <c r="A113" s="7" t="s">
        <v>15</v>
      </c>
      <c r="B113" s="10">
        <v>26</v>
      </c>
      <c r="C113" s="10">
        <v>38</v>
      </c>
      <c r="D113" s="35">
        <v>743</v>
      </c>
      <c r="E113" s="10">
        <v>442</v>
      </c>
      <c r="F113" s="10">
        <v>371</v>
      </c>
      <c r="G113" s="10">
        <v>261</v>
      </c>
      <c r="H113" s="10">
        <v>111</v>
      </c>
      <c r="I113" s="35">
        <v>347</v>
      </c>
      <c r="J113" s="10">
        <v>701</v>
      </c>
      <c r="K113" s="10">
        <v>49.5</v>
      </c>
      <c r="L113" s="10">
        <v>354</v>
      </c>
      <c r="M113" s="35">
        <v>479</v>
      </c>
      <c r="N113" s="10">
        <v>177</v>
      </c>
      <c r="O113" s="10">
        <v>302</v>
      </c>
      <c r="P113" s="35">
        <v>358</v>
      </c>
      <c r="Q113" s="10">
        <v>1101</v>
      </c>
      <c r="R113" s="10">
        <v>882</v>
      </c>
      <c r="S113" s="42">
        <v>12</v>
      </c>
    </row>
    <row r="114" spans="1:19" x14ac:dyDescent="0.25">
      <c r="A114" s="7" t="s">
        <v>27</v>
      </c>
      <c r="B114" s="10">
        <v>25</v>
      </c>
      <c r="C114" s="10">
        <v>38</v>
      </c>
      <c r="D114" s="35">
        <v>679</v>
      </c>
      <c r="E114" s="10">
        <v>384</v>
      </c>
      <c r="F114" s="10">
        <v>339</v>
      </c>
      <c r="G114" s="10">
        <v>260</v>
      </c>
      <c r="H114" s="10">
        <v>80</v>
      </c>
      <c r="I114" s="35">
        <v>346</v>
      </c>
      <c r="J114" s="10">
        <v>678</v>
      </c>
      <c r="K114" s="10">
        <v>51</v>
      </c>
      <c r="L114" s="10">
        <v>332</v>
      </c>
      <c r="M114" s="35">
        <v>437</v>
      </c>
      <c r="N114" s="10">
        <v>117</v>
      </c>
      <c r="O114" s="10">
        <v>320</v>
      </c>
      <c r="P114" s="35">
        <v>371</v>
      </c>
      <c r="Q114" s="10">
        <v>1050</v>
      </c>
      <c r="R114" s="10">
        <v>744</v>
      </c>
      <c r="S114" s="42">
        <v>14</v>
      </c>
    </row>
    <row r="115" spans="1:19" x14ac:dyDescent="0.25">
      <c r="A115" s="7" t="s">
        <v>1</v>
      </c>
      <c r="B115" s="10">
        <v>30</v>
      </c>
      <c r="C115" s="10">
        <v>38</v>
      </c>
      <c r="D115" s="35">
        <v>677</v>
      </c>
      <c r="E115" s="10">
        <v>418</v>
      </c>
      <c r="F115" s="10">
        <v>274</v>
      </c>
      <c r="G115" s="10">
        <v>290</v>
      </c>
      <c r="H115" s="10">
        <v>113</v>
      </c>
      <c r="I115" s="35">
        <v>341</v>
      </c>
      <c r="J115" s="10">
        <v>768</v>
      </c>
      <c r="K115" s="10">
        <v>44.4</v>
      </c>
      <c r="L115" s="10">
        <v>427</v>
      </c>
      <c r="M115" s="35">
        <v>475</v>
      </c>
      <c r="N115" s="10">
        <v>108</v>
      </c>
      <c r="O115" s="10">
        <v>367</v>
      </c>
      <c r="P115" s="35">
        <v>292</v>
      </c>
      <c r="Q115" s="10">
        <v>969</v>
      </c>
      <c r="R115" s="10">
        <v>583</v>
      </c>
      <c r="S115" s="42">
        <v>19</v>
      </c>
    </row>
    <row r="116" spans="1:19" x14ac:dyDescent="0.25">
      <c r="A116" s="7" t="s">
        <v>149</v>
      </c>
      <c r="B116" s="10">
        <v>28</v>
      </c>
      <c r="C116" s="10">
        <v>38</v>
      </c>
      <c r="D116" s="35">
        <v>654</v>
      </c>
      <c r="E116" s="10">
        <v>368</v>
      </c>
      <c r="F116" s="10">
        <v>330</v>
      </c>
      <c r="G116" s="10">
        <v>236</v>
      </c>
      <c r="H116" s="10">
        <v>88</v>
      </c>
      <c r="I116" s="35">
        <v>299</v>
      </c>
      <c r="J116" s="10">
        <v>616</v>
      </c>
      <c r="K116" s="10">
        <v>48.5</v>
      </c>
      <c r="L116" s="10">
        <v>317</v>
      </c>
      <c r="M116" s="35">
        <v>493</v>
      </c>
      <c r="N116" s="10">
        <v>183</v>
      </c>
      <c r="O116" s="10">
        <v>310</v>
      </c>
      <c r="P116" s="35">
        <v>325</v>
      </c>
      <c r="Q116" s="10">
        <v>979</v>
      </c>
      <c r="R116" s="10">
        <v>916</v>
      </c>
      <c r="S116" s="42">
        <v>21</v>
      </c>
    </row>
    <row r="117" spans="1:19" x14ac:dyDescent="0.25">
      <c r="A117" s="7" t="s">
        <v>25</v>
      </c>
      <c r="B117" s="10">
        <v>25</v>
      </c>
      <c r="C117" s="10">
        <v>38</v>
      </c>
      <c r="D117" s="35">
        <v>517</v>
      </c>
      <c r="E117" s="10">
        <v>305</v>
      </c>
      <c r="F117" s="10">
        <v>183</v>
      </c>
      <c r="G117" s="10">
        <v>221</v>
      </c>
      <c r="H117" s="10">
        <v>113</v>
      </c>
      <c r="I117" s="35">
        <v>222</v>
      </c>
      <c r="J117" s="10">
        <v>458</v>
      </c>
      <c r="K117" s="10">
        <v>48.5</v>
      </c>
      <c r="L117" s="10">
        <v>236</v>
      </c>
      <c r="M117" s="35">
        <v>353</v>
      </c>
      <c r="N117" s="10">
        <v>75</v>
      </c>
      <c r="O117" s="10">
        <v>278</v>
      </c>
      <c r="P117" s="35">
        <v>233</v>
      </c>
      <c r="Q117" s="10">
        <v>750</v>
      </c>
      <c r="R117" s="10">
        <v>457</v>
      </c>
      <c r="S117" s="42">
        <v>17</v>
      </c>
    </row>
    <row r="118" spans="1:19" x14ac:dyDescent="0.25">
      <c r="A118" s="7" t="s">
        <v>268</v>
      </c>
      <c r="B118" s="10">
        <v>31</v>
      </c>
      <c r="C118" s="10">
        <v>38</v>
      </c>
      <c r="D118" s="35">
        <v>676</v>
      </c>
      <c r="E118" s="10">
        <v>409</v>
      </c>
      <c r="F118" s="10">
        <v>334</v>
      </c>
      <c r="G118" s="10">
        <v>240</v>
      </c>
      <c r="H118" s="10">
        <v>102</v>
      </c>
      <c r="I118" s="35">
        <v>349</v>
      </c>
      <c r="J118" s="10">
        <v>715</v>
      </c>
      <c r="K118" s="10">
        <v>48.8</v>
      </c>
      <c r="L118" s="10">
        <v>366</v>
      </c>
      <c r="M118" s="35">
        <v>534</v>
      </c>
      <c r="N118" s="10">
        <v>207</v>
      </c>
      <c r="O118" s="10">
        <v>327</v>
      </c>
      <c r="P118" s="35">
        <v>313</v>
      </c>
      <c r="Q118" s="10">
        <v>989</v>
      </c>
      <c r="R118" s="10">
        <v>884</v>
      </c>
      <c r="S118" s="42">
        <v>12</v>
      </c>
    </row>
    <row r="119" spans="1:19" x14ac:dyDescent="0.25">
      <c r="A119" s="7" t="s">
        <v>269</v>
      </c>
      <c r="B119" s="10">
        <v>32</v>
      </c>
      <c r="C119" s="10">
        <v>38</v>
      </c>
      <c r="D119" s="35">
        <v>661</v>
      </c>
      <c r="E119" s="10">
        <v>391</v>
      </c>
      <c r="F119" s="10">
        <v>316</v>
      </c>
      <c r="G119" s="10">
        <v>254</v>
      </c>
      <c r="H119" s="10">
        <v>91</v>
      </c>
      <c r="I119" s="35">
        <v>302</v>
      </c>
      <c r="J119" s="10">
        <v>681</v>
      </c>
      <c r="K119" s="10">
        <v>44.3</v>
      </c>
      <c r="L119" s="10">
        <v>379</v>
      </c>
      <c r="M119" s="35">
        <v>497</v>
      </c>
      <c r="N119" s="10">
        <v>151</v>
      </c>
      <c r="O119" s="10">
        <v>346</v>
      </c>
      <c r="P119" s="35">
        <v>285</v>
      </c>
      <c r="Q119" s="10">
        <v>946</v>
      </c>
      <c r="R119" s="10">
        <v>682</v>
      </c>
      <c r="S119" s="42">
        <v>16</v>
      </c>
    </row>
    <row r="120" spans="1:19" x14ac:dyDescent="0.25">
      <c r="A120" s="7" t="s">
        <v>91</v>
      </c>
      <c r="B120" s="10">
        <v>33</v>
      </c>
      <c r="C120" s="10">
        <v>38</v>
      </c>
      <c r="D120" s="35">
        <v>728</v>
      </c>
      <c r="E120" s="10">
        <v>429</v>
      </c>
      <c r="F120" s="10">
        <v>437</v>
      </c>
      <c r="G120" s="10">
        <v>219</v>
      </c>
      <c r="H120" s="10">
        <v>72</v>
      </c>
      <c r="I120" s="35">
        <v>325</v>
      </c>
      <c r="J120" s="10">
        <v>607</v>
      </c>
      <c r="K120" s="10">
        <v>53.5</v>
      </c>
      <c r="L120" s="10">
        <v>282</v>
      </c>
      <c r="M120" s="35">
        <v>488</v>
      </c>
      <c r="N120" s="10">
        <v>168</v>
      </c>
      <c r="O120" s="10">
        <v>320</v>
      </c>
      <c r="P120" s="35">
        <v>331</v>
      </c>
      <c r="Q120" s="10">
        <v>1059</v>
      </c>
      <c r="R120" s="10">
        <v>968</v>
      </c>
      <c r="S120" s="42">
        <v>13</v>
      </c>
    </row>
    <row r="121" spans="1:19" x14ac:dyDescent="0.25">
      <c r="A121" s="7" t="s">
        <v>103</v>
      </c>
      <c r="B121" s="10">
        <v>35</v>
      </c>
      <c r="C121" s="10">
        <v>38</v>
      </c>
      <c r="D121" s="35">
        <v>709</v>
      </c>
      <c r="E121" s="10">
        <v>405</v>
      </c>
      <c r="F121" s="10">
        <v>375</v>
      </c>
      <c r="G121" s="10">
        <v>248</v>
      </c>
      <c r="H121" s="10">
        <v>86</v>
      </c>
      <c r="I121" s="35">
        <v>299</v>
      </c>
      <c r="J121" s="10">
        <v>635</v>
      </c>
      <c r="K121" s="10">
        <v>47.1</v>
      </c>
      <c r="L121" s="10">
        <v>336</v>
      </c>
      <c r="M121" s="35">
        <v>514</v>
      </c>
      <c r="N121" s="10">
        <v>180</v>
      </c>
      <c r="O121" s="10">
        <v>334</v>
      </c>
      <c r="P121" s="35">
        <v>348</v>
      </c>
      <c r="Q121" s="10">
        <v>1057</v>
      </c>
      <c r="R121" s="10">
        <v>1042</v>
      </c>
      <c r="S121" s="42">
        <v>18</v>
      </c>
    </row>
    <row r="122" spans="1:19" x14ac:dyDescent="0.25">
      <c r="A122" s="7" t="s">
        <v>150</v>
      </c>
      <c r="B122" s="10">
        <v>29</v>
      </c>
      <c r="C122" s="10">
        <v>38</v>
      </c>
      <c r="D122" s="35">
        <v>724</v>
      </c>
      <c r="E122" s="10">
        <v>451</v>
      </c>
      <c r="F122" s="10">
        <v>335</v>
      </c>
      <c r="G122" s="10">
        <v>264</v>
      </c>
      <c r="H122" s="10">
        <v>125</v>
      </c>
      <c r="I122" s="35">
        <v>360</v>
      </c>
      <c r="J122" s="10">
        <v>691</v>
      </c>
      <c r="K122" s="10">
        <v>52.1</v>
      </c>
      <c r="L122" s="10">
        <v>331</v>
      </c>
      <c r="M122" s="35">
        <v>445</v>
      </c>
      <c r="N122" s="10">
        <v>132</v>
      </c>
      <c r="O122" s="10">
        <v>313</v>
      </c>
      <c r="P122" s="35">
        <v>355</v>
      </c>
      <c r="Q122" s="10">
        <v>1079</v>
      </c>
      <c r="R122" s="10">
        <v>707</v>
      </c>
      <c r="S122" s="42">
        <v>24</v>
      </c>
    </row>
    <row r="123" spans="1:19" x14ac:dyDescent="0.25">
      <c r="A123" s="7" t="s">
        <v>151</v>
      </c>
      <c r="B123" s="10">
        <v>26</v>
      </c>
      <c r="C123" s="10">
        <v>38</v>
      </c>
      <c r="D123" s="35">
        <v>684</v>
      </c>
      <c r="E123" s="10">
        <v>426</v>
      </c>
      <c r="F123" s="10">
        <v>350</v>
      </c>
      <c r="G123" s="10">
        <v>254</v>
      </c>
      <c r="H123" s="10">
        <v>80</v>
      </c>
      <c r="I123" s="35">
        <v>307</v>
      </c>
      <c r="J123" s="10">
        <v>607</v>
      </c>
      <c r="K123" s="10">
        <v>50.6</v>
      </c>
      <c r="L123" s="10">
        <v>300</v>
      </c>
      <c r="M123" s="35">
        <v>487</v>
      </c>
      <c r="N123" s="10">
        <v>180</v>
      </c>
      <c r="O123" s="10">
        <v>307</v>
      </c>
      <c r="P123" s="35">
        <v>361</v>
      </c>
      <c r="Q123" s="10">
        <v>1045</v>
      </c>
      <c r="R123" s="10">
        <v>906</v>
      </c>
      <c r="S123" s="42">
        <v>9</v>
      </c>
    </row>
    <row r="124" spans="1:19" x14ac:dyDescent="0.25">
      <c r="A124" s="64" t="s">
        <v>153</v>
      </c>
      <c r="B124" s="12">
        <v>27</v>
      </c>
      <c r="C124" s="12">
        <v>38</v>
      </c>
      <c r="D124" s="47">
        <v>739</v>
      </c>
      <c r="E124" s="12">
        <v>430</v>
      </c>
      <c r="F124" s="12">
        <v>415</v>
      </c>
      <c r="G124" s="12">
        <v>247</v>
      </c>
      <c r="H124" s="12">
        <v>77</v>
      </c>
      <c r="I124" s="47">
        <v>312</v>
      </c>
      <c r="J124" s="12">
        <v>607</v>
      </c>
      <c r="K124" s="12">
        <v>51.4</v>
      </c>
      <c r="L124" s="12">
        <v>295</v>
      </c>
      <c r="M124" s="47">
        <v>506</v>
      </c>
      <c r="N124" s="12">
        <v>173</v>
      </c>
      <c r="O124" s="12">
        <v>333</v>
      </c>
      <c r="P124" s="47">
        <v>284</v>
      </c>
      <c r="Q124" s="12">
        <v>1023</v>
      </c>
      <c r="R124" s="12">
        <v>828</v>
      </c>
      <c r="S124" s="65">
        <v>16</v>
      </c>
    </row>
    <row r="126" spans="1:19" ht="16.5" thickBot="1" x14ac:dyDescent="0.3"/>
    <row r="127" spans="1:19" ht="16.5" thickBot="1" x14ac:dyDescent="0.3">
      <c r="A127" s="50" t="s">
        <v>244</v>
      </c>
      <c r="B127" s="60" t="s">
        <v>245</v>
      </c>
      <c r="C127" s="60" t="s">
        <v>251</v>
      </c>
      <c r="D127" s="51" t="s">
        <v>258</v>
      </c>
      <c r="E127" s="60" t="s">
        <v>259</v>
      </c>
      <c r="F127" s="60" t="s">
        <v>309</v>
      </c>
      <c r="G127" s="60" t="s">
        <v>310</v>
      </c>
      <c r="H127" s="60" t="s">
        <v>311</v>
      </c>
      <c r="I127" s="60" t="s">
        <v>295</v>
      </c>
      <c r="J127" s="60" t="s">
        <v>288</v>
      </c>
      <c r="K127" s="60" t="s">
        <v>305</v>
      </c>
      <c r="L127" s="60" t="s">
        <v>298</v>
      </c>
      <c r="M127" s="60" t="s">
        <v>312</v>
      </c>
      <c r="N127" s="60" t="s">
        <v>313</v>
      </c>
      <c r="O127" s="60" t="s">
        <v>314</v>
      </c>
      <c r="P127" s="60" t="s">
        <v>315</v>
      </c>
      <c r="Q127" s="51" t="s">
        <v>316</v>
      </c>
      <c r="R127" s="60" t="s">
        <v>303</v>
      </c>
      <c r="S127" s="61" t="s">
        <v>317</v>
      </c>
    </row>
    <row r="128" spans="1:19" x14ac:dyDescent="0.25">
      <c r="A128" s="7" t="s">
        <v>6</v>
      </c>
      <c r="B128" s="10">
        <v>25</v>
      </c>
      <c r="C128" s="10">
        <v>38</v>
      </c>
      <c r="D128" s="35">
        <v>64</v>
      </c>
      <c r="E128" s="10">
        <v>2</v>
      </c>
      <c r="F128" s="10">
        <v>1</v>
      </c>
      <c r="G128" s="10">
        <v>391</v>
      </c>
      <c r="H128" s="10">
        <v>394</v>
      </c>
      <c r="I128" s="10">
        <v>87</v>
      </c>
      <c r="J128" s="10">
        <v>670</v>
      </c>
      <c r="K128" s="10">
        <v>292</v>
      </c>
      <c r="L128" s="10">
        <v>348</v>
      </c>
      <c r="M128" s="10">
        <v>9</v>
      </c>
      <c r="N128" s="10">
        <v>3</v>
      </c>
      <c r="O128" s="10">
        <v>1</v>
      </c>
      <c r="P128" s="10">
        <v>1752</v>
      </c>
      <c r="Q128" s="35">
        <v>503</v>
      </c>
      <c r="R128" s="10">
        <v>499</v>
      </c>
      <c r="S128" s="42">
        <v>50.2</v>
      </c>
    </row>
    <row r="129" spans="1:19" x14ac:dyDescent="0.25">
      <c r="A129" s="7" t="s">
        <v>8</v>
      </c>
      <c r="B129" s="10">
        <v>31</v>
      </c>
      <c r="C129" s="10">
        <v>38</v>
      </c>
      <c r="D129" s="35">
        <v>94</v>
      </c>
      <c r="E129" s="10">
        <v>2</v>
      </c>
      <c r="F129" s="10">
        <v>0</v>
      </c>
      <c r="G129" s="10">
        <v>412</v>
      </c>
      <c r="H129" s="10">
        <v>473</v>
      </c>
      <c r="I129" s="10">
        <v>47</v>
      </c>
      <c r="J129" s="10">
        <v>651</v>
      </c>
      <c r="K129" s="10">
        <v>236</v>
      </c>
      <c r="L129" s="10">
        <v>311</v>
      </c>
      <c r="M129" s="10">
        <v>4</v>
      </c>
      <c r="N129" s="10">
        <v>2</v>
      </c>
      <c r="O129" s="10">
        <v>4</v>
      </c>
      <c r="P129" s="10">
        <v>1619</v>
      </c>
      <c r="Q129" s="35">
        <v>334</v>
      </c>
      <c r="R129" s="10">
        <v>363</v>
      </c>
      <c r="S129" s="42">
        <v>47.9</v>
      </c>
    </row>
    <row r="130" spans="1:19" x14ac:dyDescent="0.25">
      <c r="A130" s="7" t="s">
        <v>85</v>
      </c>
      <c r="B130" s="10">
        <v>30</v>
      </c>
      <c r="C130" s="10">
        <v>38</v>
      </c>
      <c r="D130" s="35">
        <v>79</v>
      </c>
      <c r="E130" s="10">
        <v>3</v>
      </c>
      <c r="F130" s="10">
        <v>0</v>
      </c>
      <c r="G130" s="10">
        <v>507</v>
      </c>
      <c r="H130" s="10">
        <v>376</v>
      </c>
      <c r="I130" s="10">
        <v>56</v>
      </c>
      <c r="J130" s="10">
        <v>709</v>
      </c>
      <c r="K130" s="10">
        <v>357</v>
      </c>
      <c r="L130" s="10">
        <v>410</v>
      </c>
      <c r="M130" s="10">
        <v>3</v>
      </c>
      <c r="N130" s="10">
        <v>7</v>
      </c>
      <c r="O130" s="10">
        <v>1</v>
      </c>
      <c r="P130" s="10">
        <v>2013</v>
      </c>
      <c r="Q130" s="35">
        <v>582</v>
      </c>
      <c r="R130" s="10">
        <v>671</v>
      </c>
      <c r="S130" s="42">
        <v>46.4</v>
      </c>
    </row>
    <row r="131" spans="1:19" x14ac:dyDescent="0.25">
      <c r="A131" s="7" t="s">
        <v>10</v>
      </c>
      <c r="B131" s="10">
        <v>28</v>
      </c>
      <c r="C131" s="10">
        <v>38</v>
      </c>
      <c r="D131" s="35">
        <v>89</v>
      </c>
      <c r="E131" s="10">
        <v>2</v>
      </c>
      <c r="F131" s="10">
        <v>0</v>
      </c>
      <c r="G131" s="10">
        <v>385</v>
      </c>
      <c r="H131" s="10">
        <v>419</v>
      </c>
      <c r="I131" s="10">
        <v>70</v>
      </c>
      <c r="J131" s="10">
        <v>706</v>
      </c>
      <c r="K131" s="10">
        <v>378</v>
      </c>
      <c r="L131" s="10">
        <v>399</v>
      </c>
      <c r="M131" s="10">
        <v>3</v>
      </c>
      <c r="N131" s="10">
        <v>2</v>
      </c>
      <c r="O131" s="10">
        <v>0</v>
      </c>
      <c r="P131" s="10">
        <v>1892</v>
      </c>
      <c r="Q131" s="35">
        <v>632</v>
      </c>
      <c r="R131" s="10">
        <v>607</v>
      </c>
      <c r="S131" s="42">
        <v>51</v>
      </c>
    </row>
    <row r="132" spans="1:19" x14ac:dyDescent="0.25">
      <c r="A132" s="7" t="s">
        <v>152</v>
      </c>
      <c r="B132" s="10">
        <v>30</v>
      </c>
      <c r="C132" s="10">
        <v>38</v>
      </c>
      <c r="D132" s="35">
        <v>90</v>
      </c>
      <c r="E132" s="10">
        <v>3</v>
      </c>
      <c r="F132" s="10">
        <v>0</v>
      </c>
      <c r="G132" s="10">
        <v>414</v>
      </c>
      <c r="H132" s="10">
        <v>454</v>
      </c>
      <c r="I132" s="10">
        <v>84</v>
      </c>
      <c r="J132" s="10">
        <v>671</v>
      </c>
      <c r="K132" s="10">
        <v>288</v>
      </c>
      <c r="L132" s="10">
        <v>366</v>
      </c>
      <c r="M132" s="10">
        <v>6</v>
      </c>
      <c r="N132" s="10">
        <v>6</v>
      </c>
      <c r="O132" s="10">
        <v>2</v>
      </c>
      <c r="P132" s="10">
        <v>1751</v>
      </c>
      <c r="Q132" s="35">
        <v>406</v>
      </c>
      <c r="R132" s="10">
        <v>345</v>
      </c>
      <c r="S132" s="42">
        <v>54.1</v>
      </c>
    </row>
    <row r="133" spans="1:19" x14ac:dyDescent="0.25">
      <c r="A133" s="7" t="s">
        <v>17</v>
      </c>
      <c r="B133" s="10">
        <v>31</v>
      </c>
      <c r="C133" s="10">
        <v>38</v>
      </c>
      <c r="D133" s="35">
        <v>77</v>
      </c>
      <c r="E133" s="10">
        <v>7</v>
      </c>
      <c r="F133" s="10">
        <v>3</v>
      </c>
      <c r="G133" s="10">
        <v>429</v>
      </c>
      <c r="H133" s="10">
        <v>353</v>
      </c>
      <c r="I133" s="10">
        <v>76</v>
      </c>
      <c r="J133" s="10">
        <v>550</v>
      </c>
      <c r="K133" s="10">
        <v>280</v>
      </c>
      <c r="L133" s="10">
        <v>342</v>
      </c>
      <c r="M133" s="10">
        <v>3</v>
      </c>
      <c r="N133" s="10">
        <v>7</v>
      </c>
      <c r="O133" s="10">
        <v>3</v>
      </c>
      <c r="P133" s="10">
        <v>1727</v>
      </c>
      <c r="Q133" s="35">
        <v>561</v>
      </c>
      <c r="R133" s="10">
        <v>696</v>
      </c>
      <c r="S133" s="42">
        <v>44.6</v>
      </c>
    </row>
    <row r="134" spans="1:19" x14ac:dyDescent="0.25">
      <c r="A134" s="7" t="s">
        <v>2</v>
      </c>
      <c r="B134" s="10">
        <v>32</v>
      </c>
      <c r="C134" s="10">
        <v>38</v>
      </c>
      <c r="D134" s="35">
        <v>109</v>
      </c>
      <c r="E134" s="10">
        <v>4</v>
      </c>
      <c r="F134" s="10">
        <v>2</v>
      </c>
      <c r="G134" s="10">
        <v>446</v>
      </c>
      <c r="H134" s="10">
        <v>451</v>
      </c>
      <c r="I134" s="10">
        <v>85</v>
      </c>
      <c r="J134" s="10">
        <v>558</v>
      </c>
      <c r="K134" s="10">
        <v>298</v>
      </c>
      <c r="L134" s="10">
        <v>376</v>
      </c>
      <c r="M134" s="10">
        <v>11</v>
      </c>
      <c r="N134" s="10">
        <v>5</v>
      </c>
      <c r="O134" s="10">
        <v>3</v>
      </c>
      <c r="P134" s="10">
        <v>1846</v>
      </c>
      <c r="Q134" s="35">
        <v>440</v>
      </c>
      <c r="R134" s="10">
        <v>402</v>
      </c>
      <c r="S134" s="42">
        <v>52.3</v>
      </c>
    </row>
    <row r="135" spans="1:19" x14ac:dyDescent="0.25">
      <c r="A135" s="7" t="s">
        <v>9</v>
      </c>
      <c r="B135" s="10">
        <v>26</v>
      </c>
      <c r="C135" s="10">
        <v>38</v>
      </c>
      <c r="D135" s="35">
        <v>73</v>
      </c>
      <c r="E135" s="10">
        <v>2</v>
      </c>
      <c r="F135" s="10">
        <v>2</v>
      </c>
      <c r="G135" s="10">
        <v>457</v>
      </c>
      <c r="H135" s="10">
        <v>427</v>
      </c>
      <c r="I135" s="10">
        <v>72</v>
      </c>
      <c r="J135" s="10">
        <v>583</v>
      </c>
      <c r="K135" s="10">
        <v>323</v>
      </c>
      <c r="L135" s="10">
        <v>464</v>
      </c>
      <c r="M135" s="10">
        <v>4</v>
      </c>
      <c r="N135" s="10">
        <v>3</v>
      </c>
      <c r="O135" s="10">
        <v>2</v>
      </c>
      <c r="P135" s="10">
        <v>1909</v>
      </c>
      <c r="Q135" s="35">
        <v>553</v>
      </c>
      <c r="R135" s="10">
        <v>555</v>
      </c>
      <c r="S135" s="42">
        <v>49.9</v>
      </c>
    </row>
    <row r="136" spans="1:19" x14ac:dyDescent="0.25">
      <c r="A136" s="7" t="s">
        <v>15</v>
      </c>
      <c r="B136" s="10">
        <v>26</v>
      </c>
      <c r="C136" s="10">
        <v>38</v>
      </c>
      <c r="D136" s="35">
        <v>82</v>
      </c>
      <c r="E136" s="10">
        <v>1</v>
      </c>
      <c r="F136" s="10">
        <v>1</v>
      </c>
      <c r="G136" s="10">
        <v>457</v>
      </c>
      <c r="H136" s="10">
        <v>361</v>
      </c>
      <c r="I136" s="10">
        <v>89</v>
      </c>
      <c r="J136" s="10">
        <v>752</v>
      </c>
      <c r="K136" s="10">
        <v>358</v>
      </c>
      <c r="L136" s="10">
        <v>442</v>
      </c>
      <c r="M136" s="10">
        <v>2</v>
      </c>
      <c r="N136" s="10">
        <v>8</v>
      </c>
      <c r="O136" s="10">
        <v>3</v>
      </c>
      <c r="P136" s="10">
        <v>1970</v>
      </c>
      <c r="Q136" s="35">
        <v>676</v>
      </c>
      <c r="R136" s="10">
        <v>577</v>
      </c>
      <c r="S136" s="42">
        <v>54</v>
      </c>
    </row>
    <row r="137" spans="1:19" x14ac:dyDescent="0.25">
      <c r="A137" s="7" t="s">
        <v>27</v>
      </c>
      <c r="B137" s="10">
        <v>25</v>
      </c>
      <c r="C137" s="10">
        <v>38</v>
      </c>
      <c r="D137" s="35">
        <v>84</v>
      </c>
      <c r="E137" s="10">
        <v>4</v>
      </c>
      <c r="F137" s="10">
        <v>3</v>
      </c>
      <c r="G137" s="10">
        <v>384</v>
      </c>
      <c r="H137" s="10">
        <v>364</v>
      </c>
      <c r="I137" s="10">
        <v>51</v>
      </c>
      <c r="J137" s="10">
        <v>736</v>
      </c>
      <c r="K137" s="10">
        <v>371</v>
      </c>
      <c r="L137" s="10">
        <v>384</v>
      </c>
      <c r="M137" s="10">
        <v>2</v>
      </c>
      <c r="N137" s="10">
        <v>8</v>
      </c>
      <c r="O137" s="10">
        <v>4</v>
      </c>
      <c r="P137" s="10">
        <v>1837</v>
      </c>
      <c r="Q137" s="35">
        <v>487</v>
      </c>
      <c r="R137" s="10">
        <v>509</v>
      </c>
      <c r="S137" s="42">
        <v>48.9</v>
      </c>
    </row>
    <row r="138" spans="1:19" x14ac:dyDescent="0.25">
      <c r="A138" s="7" t="s">
        <v>1</v>
      </c>
      <c r="B138" s="10">
        <v>30</v>
      </c>
      <c r="C138" s="10">
        <v>38</v>
      </c>
      <c r="D138" s="35">
        <v>69</v>
      </c>
      <c r="E138" s="10">
        <v>5</v>
      </c>
      <c r="F138" s="10">
        <v>2</v>
      </c>
      <c r="G138" s="10">
        <v>463</v>
      </c>
      <c r="H138" s="10">
        <v>376</v>
      </c>
      <c r="I138" s="10">
        <v>100</v>
      </c>
      <c r="J138" s="10">
        <v>817</v>
      </c>
      <c r="K138" s="10">
        <v>292</v>
      </c>
      <c r="L138" s="10">
        <v>418</v>
      </c>
      <c r="M138" s="10">
        <v>8</v>
      </c>
      <c r="N138" s="10">
        <v>1</v>
      </c>
      <c r="O138" s="10">
        <v>2</v>
      </c>
      <c r="P138" s="10">
        <v>2034</v>
      </c>
      <c r="Q138" s="35">
        <v>583</v>
      </c>
      <c r="R138" s="10">
        <v>441</v>
      </c>
      <c r="S138" s="42">
        <v>56.9</v>
      </c>
    </row>
    <row r="139" spans="1:19" x14ac:dyDescent="0.25">
      <c r="A139" s="7" t="s">
        <v>149</v>
      </c>
      <c r="B139" s="10">
        <v>28</v>
      </c>
      <c r="C139" s="10">
        <v>38</v>
      </c>
      <c r="D139" s="35">
        <v>71</v>
      </c>
      <c r="E139" s="10">
        <v>0</v>
      </c>
      <c r="F139" s="10">
        <v>0</v>
      </c>
      <c r="G139" s="10">
        <v>443</v>
      </c>
      <c r="H139" s="10">
        <v>448</v>
      </c>
      <c r="I139" s="10">
        <v>67</v>
      </c>
      <c r="J139" s="10">
        <v>841</v>
      </c>
      <c r="K139" s="10">
        <v>325</v>
      </c>
      <c r="L139" s="10">
        <v>368</v>
      </c>
      <c r="M139" s="10">
        <v>2</v>
      </c>
      <c r="N139" s="10">
        <v>4</v>
      </c>
      <c r="O139" s="10">
        <v>4</v>
      </c>
      <c r="P139" s="10">
        <v>1868</v>
      </c>
      <c r="Q139" s="35">
        <v>635</v>
      </c>
      <c r="R139" s="10">
        <v>631</v>
      </c>
      <c r="S139" s="42">
        <v>50.2</v>
      </c>
    </row>
    <row r="140" spans="1:19" x14ac:dyDescent="0.25">
      <c r="A140" s="7" t="s">
        <v>25</v>
      </c>
      <c r="B140" s="10">
        <v>25</v>
      </c>
      <c r="C140" s="10">
        <v>38</v>
      </c>
      <c r="D140" s="35">
        <v>53</v>
      </c>
      <c r="E140" s="10">
        <v>2</v>
      </c>
      <c r="F140" s="10">
        <v>1</v>
      </c>
      <c r="G140" s="10">
        <v>289</v>
      </c>
      <c r="H140" s="10">
        <v>410</v>
      </c>
      <c r="I140" s="10">
        <v>42</v>
      </c>
      <c r="J140" s="10">
        <v>700</v>
      </c>
      <c r="K140" s="10">
        <v>233</v>
      </c>
      <c r="L140" s="10">
        <v>305</v>
      </c>
      <c r="M140" s="10">
        <v>8</v>
      </c>
      <c r="N140" s="10">
        <v>3</v>
      </c>
      <c r="O140" s="10">
        <v>1</v>
      </c>
      <c r="P140" s="10">
        <v>1734</v>
      </c>
      <c r="Q140" s="35">
        <v>325</v>
      </c>
      <c r="R140" s="10">
        <v>288</v>
      </c>
      <c r="S140" s="42">
        <v>53</v>
      </c>
    </row>
    <row r="141" spans="1:19" x14ac:dyDescent="0.25">
      <c r="A141" s="7" t="s">
        <v>268</v>
      </c>
      <c r="B141" s="10">
        <v>31</v>
      </c>
      <c r="C141" s="10">
        <v>38</v>
      </c>
      <c r="D141" s="35">
        <v>83</v>
      </c>
      <c r="E141" s="10">
        <v>1</v>
      </c>
      <c r="F141" s="10">
        <v>1</v>
      </c>
      <c r="G141" s="10">
        <v>401</v>
      </c>
      <c r="H141" s="10">
        <v>340</v>
      </c>
      <c r="I141" s="10">
        <v>91</v>
      </c>
      <c r="J141" s="10">
        <v>594</v>
      </c>
      <c r="K141" s="10">
        <v>313</v>
      </c>
      <c r="L141" s="10">
        <v>409</v>
      </c>
      <c r="M141" s="10">
        <v>6</v>
      </c>
      <c r="N141" s="10">
        <v>7</v>
      </c>
      <c r="O141" s="10">
        <v>1</v>
      </c>
      <c r="P141" s="10">
        <v>1851</v>
      </c>
      <c r="Q141" s="35">
        <v>436</v>
      </c>
      <c r="R141" s="10">
        <v>450</v>
      </c>
      <c r="S141" s="42">
        <v>49.2</v>
      </c>
    </row>
    <row r="142" spans="1:19" x14ac:dyDescent="0.25">
      <c r="A142" s="7" t="s">
        <v>269</v>
      </c>
      <c r="B142" s="10">
        <v>32</v>
      </c>
      <c r="C142" s="10">
        <v>38</v>
      </c>
      <c r="D142" s="35">
        <v>79</v>
      </c>
      <c r="E142" s="10">
        <v>1</v>
      </c>
      <c r="F142" s="10">
        <v>1</v>
      </c>
      <c r="G142" s="10">
        <v>386</v>
      </c>
      <c r="H142" s="10">
        <v>469</v>
      </c>
      <c r="I142" s="10">
        <v>59</v>
      </c>
      <c r="J142" s="10">
        <v>648</v>
      </c>
      <c r="K142" s="10">
        <v>285</v>
      </c>
      <c r="L142" s="10">
        <v>391</v>
      </c>
      <c r="M142" s="10">
        <v>9</v>
      </c>
      <c r="N142" s="10">
        <v>5</v>
      </c>
      <c r="O142" s="10">
        <v>1</v>
      </c>
      <c r="P142" s="10">
        <v>1836</v>
      </c>
      <c r="Q142" s="35">
        <v>453</v>
      </c>
      <c r="R142" s="10">
        <v>418</v>
      </c>
      <c r="S142" s="42">
        <v>52</v>
      </c>
    </row>
    <row r="143" spans="1:19" x14ac:dyDescent="0.25">
      <c r="A143" s="7" t="s">
        <v>91</v>
      </c>
      <c r="B143" s="10">
        <v>33</v>
      </c>
      <c r="C143" s="10">
        <v>38</v>
      </c>
      <c r="D143" s="35">
        <v>82</v>
      </c>
      <c r="E143" s="10">
        <v>3</v>
      </c>
      <c r="F143" s="10">
        <v>2</v>
      </c>
      <c r="G143" s="10">
        <v>428</v>
      </c>
      <c r="H143" s="10">
        <v>371</v>
      </c>
      <c r="I143" s="10">
        <v>77</v>
      </c>
      <c r="J143" s="10">
        <v>595</v>
      </c>
      <c r="K143" s="10">
        <v>331</v>
      </c>
      <c r="L143" s="10">
        <v>429</v>
      </c>
      <c r="M143" s="10">
        <v>1</v>
      </c>
      <c r="N143" s="10">
        <v>4</v>
      </c>
      <c r="O143" s="10">
        <v>2</v>
      </c>
      <c r="P143" s="10">
        <v>1807</v>
      </c>
      <c r="Q143" s="35">
        <v>583</v>
      </c>
      <c r="R143" s="10">
        <v>556</v>
      </c>
      <c r="S143" s="42">
        <v>51.2</v>
      </c>
    </row>
    <row r="144" spans="1:19" x14ac:dyDescent="0.25">
      <c r="A144" s="7" t="s">
        <v>103</v>
      </c>
      <c r="B144" s="10">
        <v>35</v>
      </c>
      <c r="C144" s="10">
        <v>38</v>
      </c>
      <c r="D144" s="35">
        <v>101</v>
      </c>
      <c r="E144" s="10">
        <v>5</v>
      </c>
      <c r="F144" s="10">
        <v>3</v>
      </c>
      <c r="G144" s="10">
        <v>423</v>
      </c>
      <c r="H144" s="10">
        <v>318</v>
      </c>
      <c r="I144" s="10">
        <v>64</v>
      </c>
      <c r="J144" s="10">
        <v>428</v>
      </c>
      <c r="K144" s="10">
        <v>348</v>
      </c>
      <c r="L144" s="10">
        <v>405</v>
      </c>
      <c r="M144" s="10">
        <v>3</v>
      </c>
      <c r="N144" s="10">
        <v>7</v>
      </c>
      <c r="O144" s="10">
        <v>7</v>
      </c>
      <c r="P144" s="10">
        <v>1638</v>
      </c>
      <c r="Q144" s="35">
        <v>585</v>
      </c>
      <c r="R144" s="10">
        <v>693</v>
      </c>
      <c r="S144" s="42">
        <v>45.8</v>
      </c>
    </row>
    <row r="145" spans="1:19" x14ac:dyDescent="0.25">
      <c r="A145" s="7" t="s">
        <v>150</v>
      </c>
      <c r="B145" s="10">
        <v>29</v>
      </c>
      <c r="C145" s="10">
        <v>38</v>
      </c>
      <c r="D145" s="35">
        <v>92</v>
      </c>
      <c r="E145" s="10">
        <v>4</v>
      </c>
      <c r="F145" s="10">
        <v>2</v>
      </c>
      <c r="G145" s="10">
        <v>425</v>
      </c>
      <c r="H145" s="10">
        <v>510</v>
      </c>
      <c r="I145" s="10">
        <v>83</v>
      </c>
      <c r="J145" s="10">
        <v>710</v>
      </c>
      <c r="K145" s="10">
        <v>355</v>
      </c>
      <c r="L145" s="10">
        <v>451</v>
      </c>
      <c r="M145" s="10">
        <v>2</v>
      </c>
      <c r="N145" s="10">
        <v>7</v>
      </c>
      <c r="O145" s="10">
        <v>3</v>
      </c>
      <c r="P145" s="10">
        <v>1907</v>
      </c>
      <c r="Q145" s="35">
        <v>359</v>
      </c>
      <c r="R145" s="10">
        <v>388</v>
      </c>
      <c r="S145" s="42">
        <v>48.1</v>
      </c>
    </row>
    <row r="146" spans="1:19" x14ac:dyDescent="0.25">
      <c r="A146" s="7" t="s">
        <v>151</v>
      </c>
      <c r="B146" s="10">
        <v>26</v>
      </c>
      <c r="C146" s="10">
        <v>38</v>
      </c>
      <c r="D146" s="35">
        <v>82</v>
      </c>
      <c r="E146" s="10">
        <v>3</v>
      </c>
      <c r="F146" s="10">
        <v>3</v>
      </c>
      <c r="G146" s="10">
        <v>390</v>
      </c>
      <c r="H146" s="10">
        <v>392</v>
      </c>
      <c r="I146" s="10">
        <v>71</v>
      </c>
      <c r="J146" s="10">
        <v>661</v>
      </c>
      <c r="K146" s="10">
        <v>361</v>
      </c>
      <c r="L146" s="10">
        <v>426</v>
      </c>
      <c r="M146" s="10">
        <v>4</v>
      </c>
      <c r="N146" s="10">
        <v>10</v>
      </c>
      <c r="O146" s="10">
        <v>4</v>
      </c>
      <c r="P146" s="10">
        <v>1817</v>
      </c>
      <c r="Q146" s="35">
        <v>576</v>
      </c>
      <c r="R146" s="10">
        <v>570</v>
      </c>
      <c r="S146" s="42">
        <v>50.3</v>
      </c>
    </row>
    <row r="147" spans="1:19" x14ac:dyDescent="0.25">
      <c r="A147" s="67" t="s">
        <v>153</v>
      </c>
      <c r="B147" s="68">
        <v>27</v>
      </c>
      <c r="C147" s="68">
        <v>38</v>
      </c>
      <c r="D147" s="69">
        <v>102</v>
      </c>
      <c r="E147" s="68">
        <v>4</v>
      </c>
      <c r="F147" s="68">
        <v>2</v>
      </c>
      <c r="G147" s="68">
        <v>476</v>
      </c>
      <c r="H147" s="68">
        <v>405</v>
      </c>
      <c r="I147" s="68">
        <v>78</v>
      </c>
      <c r="J147" s="68">
        <v>578</v>
      </c>
      <c r="K147" s="68">
        <v>284</v>
      </c>
      <c r="L147" s="68">
        <v>430</v>
      </c>
      <c r="M147" s="68">
        <v>4</v>
      </c>
      <c r="N147" s="68">
        <v>8</v>
      </c>
      <c r="O147" s="68">
        <v>1</v>
      </c>
      <c r="P147" s="68">
        <v>1885</v>
      </c>
      <c r="Q147" s="69">
        <v>441</v>
      </c>
      <c r="R147" s="68">
        <v>491</v>
      </c>
      <c r="S147" s="70">
        <v>47.3</v>
      </c>
    </row>
  </sheetData>
  <mergeCells count="7">
    <mergeCell ref="A80:L80"/>
    <mergeCell ref="M80:Q80"/>
    <mergeCell ref="A55:D55"/>
    <mergeCell ref="E55:L55"/>
    <mergeCell ref="M55:P55"/>
    <mergeCell ref="Q55:R55"/>
    <mergeCell ref="S55:AB55"/>
  </mergeCells>
  <conditionalFormatting sqref="AE27:AK40 AE41:AF41 AH41:AK41 AE42:AK46">
    <cfRule type="containsBlanks" dxfId="0" priority="2">
      <formula>LEN(TRIM(AE27))=0</formula>
    </cfRule>
  </conditionalFormatting>
  <hyperlinks>
    <hyperlink ref="B2" r:id="rId1" display="https://fbref.com/en/squads/b8fd03ef/2023-2024/Manchester-City-Stats" xr:uid="{18E52CB4-180D-4A2E-BCE1-2C93BDE14148}"/>
    <hyperlink ref="Q2" r:id="rId2" display="https://fbref.com/en/players/1f44ac21/Erling-Haaland" xr:uid="{6A3E9A5D-B19E-4CB1-A8DB-3726B1A35B4A}"/>
    <hyperlink ref="R2" r:id="rId3" display="https://fbref.com/en/players/3bb7b8b4/Ederson" xr:uid="{63C86E26-D93B-40B4-9B80-2847EB0A0C96}"/>
    <hyperlink ref="B3" r:id="rId4" display="https://fbref.com/en/squads/18bb7c10/2023-2024/Arsenal-Stats" xr:uid="{D0951AB3-BF54-4913-BADE-52D619939892}"/>
    <hyperlink ref="Q3" r:id="rId5" display="https://fbref.com/en/players/bc7dc64d/Bukayo-Saka" xr:uid="{91339801-E040-428A-9524-44956A02FC33}"/>
    <hyperlink ref="R3" r:id="rId6" display="https://fbref.com/en/players/98ea5115/David-Raya" xr:uid="{2161F970-E952-4430-9F8F-F14F20D4EBD1}"/>
    <hyperlink ref="B4" r:id="rId7" display="https://fbref.com/en/squads/822bd0ba/2023-2024/Liverpool-Stats" xr:uid="{59BED964-8AE5-4977-9B89-F5C6F08797A6}"/>
    <hyperlink ref="Q4" r:id="rId8" display="https://fbref.com/en/players/e342ad68/Mohamed-Salah" xr:uid="{89A63F6A-E1E9-4B50-94B4-588E4BE0B9E4}"/>
    <hyperlink ref="R4" r:id="rId9" display="https://fbref.com/en/players/7a2e46a8/Alisson" xr:uid="{5FA8ED46-69F4-47AA-B3E1-CE143236698D}"/>
    <hyperlink ref="B5" r:id="rId10" display="https://fbref.com/en/squads/8602292d/2023-2024/Aston-Villa-Stats" xr:uid="{E3F98C56-968E-4716-9227-E6ABDCED7C94}"/>
    <hyperlink ref="Q5" r:id="rId11" display="https://fbref.com/en/players/aed3a70f/Ollie-Watkins" xr:uid="{4213D033-772A-4B6B-BC0F-EFFB90CA82D7}"/>
    <hyperlink ref="R5" r:id="rId12" display="https://fbref.com/en/players/7956236f/Emiliano-Martinez" xr:uid="{580B5554-DC15-4B18-8D3E-58D2C47DBEDA}"/>
    <hyperlink ref="B6" r:id="rId13" display="https://fbref.com/en/squads/361ca564/2023-2024/Tottenham-Hotspur-Stats" xr:uid="{D3863654-5C1E-49B7-B454-3D18023B2E58}"/>
    <hyperlink ref="Q6" r:id="rId14" display="https://fbref.com/en/players/92e7e919/Son-Heung-min" xr:uid="{0656BD3D-87A7-4EDA-AF64-4C6777480D5D}"/>
    <hyperlink ref="R6" r:id="rId15" display="https://fbref.com/en/players/77d6fd4d/Guglielmo-Vicario" xr:uid="{7E4C3B1F-167E-4FC3-A475-8FACA4EB40F9}"/>
    <hyperlink ref="B7" r:id="rId16" display="https://fbref.com/en/squads/cff3d9bb/2023-2024/Chelsea-Stats" xr:uid="{9CD991FA-13A4-4815-98C8-A10FA3BD07D9}"/>
    <hyperlink ref="Q7" r:id="rId17" display="https://fbref.com/en/players/dc7f8a28/Cole-Palmer" xr:uid="{DB0FF428-3BF6-4603-BBF9-144F224548AA}"/>
    <hyperlink ref="R7" r:id="rId18" display="https://fbref.com/en/players/0cf321c8/Djordje-Petrovic" xr:uid="{9E420115-36EB-45F5-9943-8ABFC8DE7938}"/>
    <hyperlink ref="B8" r:id="rId19" display="https://fbref.com/en/squads/b2b47a98/2023-2024/Newcastle-United-Stats" xr:uid="{983D7A65-42E1-4E42-97A8-47B8795E9661}"/>
    <hyperlink ref="Q8" r:id="rId20" display="https://fbref.com/en/players/8e92be30/Alexander-Isak" xr:uid="{98A09B7B-4012-413E-A232-F3A313850CF7}"/>
    <hyperlink ref="R8" r:id="rId21" display="https://fbref.com/en/players/3a949a25/Martin-Dubravka" xr:uid="{22C2827A-8D84-4AB9-8392-6E1BA4878A60}"/>
    <hyperlink ref="B9" r:id="rId22" display="https://fbref.com/en/squads/19538871/2023-2024/Manchester-United-Stats" xr:uid="{0DB487E9-C193-443E-88C5-66B02BF0254C}"/>
    <hyperlink ref="R9" r:id="rId23" display="https://fbref.com/en/players/e9c0c1b2/Andre-Onana" xr:uid="{E8085118-8A99-4B31-BF1D-9A464B602F1D}"/>
    <hyperlink ref="B10" r:id="rId24" display="https://fbref.com/en/squads/7c21e445/2023-2024/West-Ham-United-Stats" xr:uid="{5B876049-B79E-4991-8392-7CC6645AF8B9}"/>
    <hyperlink ref="Q10" r:id="rId25" display="https://fbref.com/en/players/79c84d1c/Jarrod-Bowen" xr:uid="{EC4AAE3B-1609-4BBB-A632-AE88187851A0}"/>
    <hyperlink ref="R10" r:id="rId26" display="https://fbref.com/en/players/2f965a72/Alphonse-Areola" xr:uid="{6753E0D5-C6B0-46CC-98CF-415E93DEC406}"/>
    <hyperlink ref="B11" r:id="rId27" display="https://fbref.com/en/squads/47c64c55/2023-2024/Crystal-Palace-Stats" xr:uid="{5411C9E5-2175-4AE3-BC18-9AC43E2F2959}"/>
    <hyperlink ref="Q11" r:id="rId28" display="https://fbref.com/en/players/50e6dc35/Jean-Philippe-Mateta" xr:uid="{5F8DB0A4-6867-49AA-B4A9-CE417CD4F7E9}"/>
    <hyperlink ref="R11" r:id="rId29" display="https://fbref.com/en/players/9e5708be/Sam-Johnstone" xr:uid="{A63D3A8E-4369-4A26-A239-866A93CBB159}"/>
    <hyperlink ref="B12" r:id="rId30" display="https://fbref.com/en/squads/d07537b9/2023-2024/Brighton-and-Hove-Albion-Stats" xr:uid="{4520E040-2FC6-4CB0-89B9-8A313816FE8D}"/>
    <hyperlink ref="Q12" r:id="rId31" display="https://fbref.com/en/players/e8832875/Joao-Pedro" xr:uid="{249576EC-C00A-4323-822F-F23288865193}"/>
    <hyperlink ref="R12" r:id="rId32" display="https://fbref.com/en/players/cf134113/Bart-Verbruggen" xr:uid="{F8879230-AA81-4F2D-8D70-9AE8AB0BD5F2}"/>
    <hyperlink ref="B13" r:id="rId33" display="https://fbref.com/en/squads/4ba7cbea/2023-2024/Bournemouth-Stats" xr:uid="{E3987961-2AFA-47D0-979A-26102BF4E3C5}"/>
    <hyperlink ref="Q13" r:id="rId34" display="https://fbref.com/en/players/e77dc3b2/Dominic-Solanke" xr:uid="{01C07318-75ED-479D-AC40-4C286F1F465B}"/>
    <hyperlink ref="R13" r:id="rId35" display="https://fbref.com/en/players/a9dc785c/Neto" xr:uid="{3973E79D-3740-4585-B7D0-A28B66AE32FC}"/>
    <hyperlink ref="B14" r:id="rId36" display="https://fbref.com/en/squads/fd962109/2023-2024/Fulham-Stats" xr:uid="{818E3F5D-C2DA-4619-A676-77C2FCA10A08}"/>
    <hyperlink ref="Q14" r:id="rId37" display="https://fbref.com/en/players/a755db8c/Rodrigo-Muniz" xr:uid="{BAFC286E-0FC1-46E8-8FA7-4ACA8AA7C118}"/>
    <hyperlink ref="R14" r:id="rId38" display="https://fbref.com/en/players/2628fd2b/Bernd-Leno" xr:uid="{932B2B66-561F-4B19-BD9E-B60AFEBB2F97}"/>
    <hyperlink ref="B15" r:id="rId39" display="https://fbref.com/en/squads/8cec06e1/2023-2024/Wolverhampton-Wanderers-Stats" xr:uid="{360E97F8-C38C-4AA6-9F5D-C52D86299129}"/>
    <hyperlink ref="R15" r:id="rId40" display="https://fbref.com/en/players/903b6e8b/Jose-Sa" xr:uid="{C96C6436-AAD9-4FDC-AD7F-70DA784D20E7}"/>
    <hyperlink ref="B16" r:id="rId41" display="https://fbref.com/en/squads/d3fd31cc/2023-2024/Everton-Stats" xr:uid="{59247B2D-D28E-4DE2-9A8B-7DD14E1FB60D}"/>
    <hyperlink ref="R16" r:id="rId42" display="https://fbref.com/en/players/4806ec67/Jordan-Pickford" xr:uid="{1B83E702-C3D7-40B3-8215-90AD6978B5C9}"/>
    <hyperlink ref="B17" r:id="rId43" display="https://fbref.com/en/squads/cd051869/2023-2024/Brentford-Stats" xr:uid="{BF20376D-10B4-4852-9BE1-47D634BEFC3D}"/>
    <hyperlink ref="Q17" r:id="rId44" display="https://fbref.com/en/players/2500cef9/Yoane-Wissa" xr:uid="{4DE699E8-37CF-4ECE-B4D8-131843F73D3C}"/>
    <hyperlink ref="R17" r:id="rId45" display="https://fbref.com/en/players/a92ab7be/Mark-Flekken" xr:uid="{26AEA102-4415-45C8-8E41-CD3791E652D9}"/>
    <hyperlink ref="B18" r:id="rId46" display="https://fbref.com/en/squads/e4a775cb/2023-2024/Nottingham-Forest-Stats" xr:uid="{DE67D227-DC57-4C17-B1E2-1E609E33D783}"/>
    <hyperlink ref="Q18" r:id="rId47" display="https://fbref.com/en/players/4e9a0555/Chris-Wood" xr:uid="{99DE0C5E-724E-4714-A2CF-49E41B0D8F5E}"/>
    <hyperlink ref="R18" r:id="rId48" display="https://fbref.com/en/players/4a51ba65/Matt-Turner" xr:uid="{88941239-9F56-48A7-AB46-A7F2244A6582}"/>
    <hyperlink ref="B19" r:id="rId49" display="https://fbref.com/en/squads/e297cd13/2023-2024/Luton-Town-Stats" xr:uid="{454D48F0-B381-49A2-908E-376C08E4325E}"/>
    <hyperlink ref="Q19" r:id="rId50" display="https://fbref.com/en/players/2da834f1/Carlton-Morris" xr:uid="{6FAF9539-268A-45E9-8960-ED1BE25A2FBD}"/>
    <hyperlink ref="R19" r:id="rId51" display="https://fbref.com/en/players/1caa93a5/Thomas-Kaminski" xr:uid="{257FFC67-7619-4090-9BD5-760C4311367C}"/>
    <hyperlink ref="B20" r:id="rId52" display="https://fbref.com/en/squads/943e8050/2023-2024/Burnley-Stats" xr:uid="{F8899868-498C-4C2D-B2E2-047960510480}"/>
    <hyperlink ref="Q20" r:id="rId53" display="https://fbref.com/en/players/4e204552/Jacob-Bruun-Larsen" xr:uid="{BA57EAFB-C8C0-490B-AAF9-DD675B3565D7}"/>
    <hyperlink ref="R20" r:id="rId54" display="https://fbref.com/en/players/259fea27/James-Trafford" xr:uid="{99810BD8-0788-4795-AB5D-E63973B60E60}"/>
    <hyperlink ref="B21" r:id="rId55" display="https://fbref.com/en/squads/1df6b87e/2023-2024/Sheffield-United-Stats" xr:uid="{EC46539E-A8BF-4491-9500-7422E8860369}"/>
    <hyperlink ref="A57" r:id="rId56" display="https://fbref.com/en/squads/18bb7c10/2023-2024/Arsenal-Stats" xr:uid="{3A6C5C82-6330-4D2E-A8C0-589247B4893B}"/>
    <hyperlink ref="A58" r:id="rId57" display="https://fbref.com/en/squads/8602292d/2023-2024/Aston-Villa-Stats" xr:uid="{D08CD962-9922-44CE-A1DC-115C48B7BBD4}"/>
    <hyperlink ref="A59" r:id="rId58" display="https://fbref.com/en/squads/4ba7cbea/2023-2024/Bournemouth-Stats" xr:uid="{841F44B9-8261-4CF1-9D3F-4E6C1F994C18}"/>
    <hyperlink ref="A60" r:id="rId59" display="https://fbref.com/en/squads/cd051869/2023-2024/Brentford-Stats" xr:uid="{2917A841-41E9-4B33-8D6F-FFB40B9D9A75}"/>
    <hyperlink ref="A61" r:id="rId60" display="https://fbref.com/en/squads/d07537b9/2023-2024/Brighton-and-Hove-Albion-Stats" xr:uid="{8E88C423-A555-418A-ABD8-2E408F51F20D}"/>
    <hyperlink ref="A62" r:id="rId61" display="https://fbref.com/en/squads/943e8050/2023-2024/Burnley-Stats" xr:uid="{F4086CF8-56D7-4461-AC8A-24F7B6C774E6}"/>
    <hyperlink ref="A63" r:id="rId62" display="https://fbref.com/en/squads/cff3d9bb/2023-2024/Chelsea-Stats" xr:uid="{C474BE72-6686-454A-9C1C-F70E3E6D79AF}"/>
    <hyperlink ref="A64" r:id="rId63" display="https://fbref.com/en/squads/47c64c55/2023-2024/Crystal-Palace-Stats" xr:uid="{54B0779A-38C2-4ECE-8E4C-4CD880AE8C85}"/>
    <hyperlink ref="A65" r:id="rId64" display="https://fbref.com/en/squads/d3fd31cc/2023-2024/Everton-Stats" xr:uid="{26514E76-5B6C-4FE9-86EC-F2F8BD8F2561}"/>
    <hyperlink ref="A66" r:id="rId65" display="https://fbref.com/en/squads/fd962109/2023-2024/Fulham-Stats" xr:uid="{FC0FAD27-FC45-4CA6-8371-53FD50E09BA9}"/>
    <hyperlink ref="A67" r:id="rId66" display="https://fbref.com/en/squads/822bd0ba/2023-2024/Liverpool-Stats" xr:uid="{706FA9EE-812B-4720-96C8-C297B5D9363A}"/>
    <hyperlink ref="A68" r:id="rId67" display="https://fbref.com/en/squads/e297cd13/2023-2024/Luton-Town-Stats" xr:uid="{E21AD00D-D848-4B3A-B3A6-911597E3EDDC}"/>
    <hyperlink ref="A69" r:id="rId68" display="https://fbref.com/en/squads/b8fd03ef/2023-2024/Manchester-City-Stats" xr:uid="{6E2C21BD-CA5E-4FA1-AACF-59B6C0D6C0F6}"/>
    <hyperlink ref="A70" r:id="rId69" display="https://fbref.com/en/squads/19538871/2023-2024/Manchester-United-Stats" xr:uid="{787168BA-1FAF-4050-80AB-87F2C4739289}"/>
    <hyperlink ref="A71" r:id="rId70" display="https://fbref.com/en/squads/b2b47a98/2023-2024/Newcastle-United-Stats" xr:uid="{99D10156-F997-4885-B5B7-4CEBD587EA3D}"/>
    <hyperlink ref="A72" r:id="rId71" display="https://fbref.com/en/squads/e4a775cb/2023-2024/Nottingham-Forest-Stats" xr:uid="{73AA2A8A-769C-451E-AE29-A4A8F7ABB127}"/>
    <hyperlink ref="A73" r:id="rId72" display="https://fbref.com/en/squads/1df6b87e/2023-2024/Sheffield-United-Stats" xr:uid="{02137D4D-C641-4A49-9768-479D1DCB39E0}"/>
    <hyperlink ref="A74" r:id="rId73" display="https://fbref.com/en/squads/361ca564/2023-2024/Tottenham-Hotspur-Stats" xr:uid="{75EF925A-7E80-44C3-A50F-CE3058CC237A}"/>
    <hyperlink ref="A75" r:id="rId74" display="https://fbref.com/en/squads/7c21e445/2023-2024/West-Ham-United-Stats" xr:uid="{0411D1D8-7A07-4C83-98BB-0238530BD7F8}"/>
    <hyperlink ref="A76" r:id="rId75" display="https://fbref.com/en/squads/8cec06e1/2023-2024/Wolverhampton-Wanderers-Stats" xr:uid="{D5E83C87-31C2-4E33-8B58-7001504110B7}"/>
    <hyperlink ref="A82" r:id="rId76" display="https://fbref.com/en/squads/18bb7c10/2023-2024/Arsenal-Stats" xr:uid="{03785853-A697-42B9-886D-77892A5D3E88}"/>
    <hyperlink ref="A83" r:id="rId77" display="https://fbref.com/en/squads/8602292d/2023-2024/Aston-Villa-Stats" xr:uid="{8B253027-40C4-4615-868E-3D0F1B866419}"/>
    <hyperlink ref="A84" r:id="rId78" display="https://fbref.com/en/squads/4ba7cbea/2023-2024/Bournemouth-Stats" xr:uid="{ACC3F348-DDB2-489A-84C5-45B8C5567606}"/>
    <hyperlink ref="A85" r:id="rId79" display="https://fbref.com/en/squads/cd051869/2023-2024/Brentford-Stats" xr:uid="{1CBFC59C-E5D1-4C4E-9EFB-7001A2C7F338}"/>
    <hyperlink ref="A86" r:id="rId80" display="https://fbref.com/en/squads/d07537b9/2023-2024/Brighton-and-Hove-Albion-Stats" xr:uid="{CBF440A5-A3D6-436C-BC70-41A703ED83FF}"/>
    <hyperlink ref="A87" r:id="rId81" display="https://fbref.com/en/squads/943e8050/2023-2024/Burnley-Stats" xr:uid="{A73901CE-2B17-4ED3-9C9B-B3C62D548B34}"/>
    <hyperlink ref="A88" r:id="rId82" display="https://fbref.com/en/squads/cff3d9bb/2023-2024/Chelsea-Stats" xr:uid="{023E03B5-6D0E-421B-9984-4110C238BBC8}"/>
    <hyperlink ref="A89" r:id="rId83" display="https://fbref.com/en/squads/47c64c55/2023-2024/Crystal-Palace-Stats" xr:uid="{4CEC6E3A-DA09-457E-B22B-D2801C777ABB}"/>
    <hyperlink ref="A90" r:id="rId84" display="https://fbref.com/en/squads/d3fd31cc/2023-2024/Everton-Stats" xr:uid="{93B16300-609D-405B-8AF0-86F840A9703E}"/>
    <hyperlink ref="A91" r:id="rId85" display="https://fbref.com/en/squads/fd962109/2023-2024/Fulham-Stats" xr:uid="{1B872233-7A40-4F77-ABC0-151A64A9A673}"/>
    <hyperlink ref="A92" r:id="rId86" display="https://fbref.com/en/squads/822bd0ba/2023-2024/Liverpool-Stats" xr:uid="{67B1D62B-2A00-4DCE-A4AF-C33AD8B466C0}"/>
    <hyperlink ref="A93" r:id="rId87" display="https://fbref.com/en/squads/e297cd13/2023-2024/Luton-Town-Stats" xr:uid="{9BD3E2AA-1A9C-4046-822A-55F8950885AC}"/>
    <hyperlink ref="A94" r:id="rId88" display="https://fbref.com/en/squads/b8fd03ef/2023-2024/Manchester-City-Stats" xr:uid="{658A0EBE-10E7-403E-AF0A-5C3209B1DF20}"/>
    <hyperlink ref="A95" r:id="rId89" display="https://fbref.com/en/squads/19538871/2023-2024/Manchester-United-Stats" xr:uid="{E28FCCB7-F3AD-4D44-A944-58525986ED38}"/>
    <hyperlink ref="A96" r:id="rId90" display="https://fbref.com/en/squads/b2b47a98/2023-2024/Newcastle-United-Stats" xr:uid="{847F1156-16D9-46C1-9350-00A2995C435C}"/>
    <hyperlink ref="A97" r:id="rId91" display="https://fbref.com/en/squads/e4a775cb/2023-2024/Nottingham-Forest-Stats" xr:uid="{E5F40A6D-50D9-4A6B-8CC2-8D9818714ABE}"/>
    <hyperlink ref="A98" r:id="rId92" display="https://fbref.com/en/squads/1df6b87e/2023-2024/Sheffield-United-Stats" xr:uid="{3430E6DF-A01C-4804-96B2-F3B4FDFDA709}"/>
    <hyperlink ref="A99" r:id="rId93" display="https://fbref.com/en/squads/361ca564/2023-2024/Tottenham-Hotspur-Stats" xr:uid="{0C75E305-FCC4-4526-81BD-CD8E6D241812}"/>
    <hyperlink ref="A100" r:id="rId94" display="https://fbref.com/en/squads/7c21e445/2023-2024/West-Ham-United-Stats" xr:uid="{6D173965-4FDC-4ED4-876E-F6F068DDDDA5}"/>
    <hyperlink ref="A101" r:id="rId95" display="https://fbref.com/en/squads/8cec06e1/2023-2024/Wolverhampton-Wanderers-Stats" xr:uid="{E3D5FA8D-52A3-4110-98B2-CDC5EFC9335E}"/>
    <hyperlink ref="W82" r:id="rId96" display="https://fbref.com/en/squads/18bb7c10/2023-2024/Arsenal-Stats" xr:uid="{A3FD83D8-2CB1-4FC6-B82E-3EEC1A12BB7F}"/>
    <hyperlink ref="W83" r:id="rId97" display="https://fbref.com/en/squads/8602292d/2023-2024/Aston-Villa-Stats" xr:uid="{7152BF32-9FBB-4686-8BA0-054F178295EF}"/>
    <hyperlink ref="W84" r:id="rId98" display="https://fbref.com/en/squads/4ba7cbea/2023-2024/Bournemouth-Stats" xr:uid="{757EFB81-948E-429D-98EA-ACA991FE0EC1}"/>
    <hyperlink ref="W85" r:id="rId99" display="https://fbref.com/en/squads/cd051869/2023-2024/Brentford-Stats" xr:uid="{12E3B624-4B6F-4CBB-B1F3-C82198236853}"/>
    <hyperlink ref="W86" r:id="rId100" display="https://fbref.com/en/squads/d07537b9/2023-2024/Brighton-and-Hove-Albion-Stats" xr:uid="{1955C392-5A8B-430B-A7C5-C46696D68F70}"/>
    <hyperlink ref="W87" r:id="rId101" display="https://fbref.com/en/squads/943e8050/2023-2024/Burnley-Stats" xr:uid="{6149223C-EE9D-43E8-954F-14482F914D12}"/>
    <hyperlink ref="W88" r:id="rId102" display="https://fbref.com/en/squads/cff3d9bb/2023-2024/Chelsea-Stats" xr:uid="{823A0868-556B-492F-928C-81A1B7B35B16}"/>
    <hyperlink ref="W89" r:id="rId103" display="https://fbref.com/en/squads/47c64c55/2023-2024/Crystal-Palace-Stats" xr:uid="{835B4541-432A-4F19-9F8C-DAD04C8D49B4}"/>
    <hyperlink ref="W90" r:id="rId104" display="https://fbref.com/en/squads/d3fd31cc/2023-2024/Everton-Stats" xr:uid="{BED49C8D-AFDC-4693-BDFF-82279F8AB1F3}"/>
    <hyperlink ref="W91" r:id="rId105" display="https://fbref.com/en/squads/fd962109/2023-2024/Fulham-Stats" xr:uid="{3F3A930A-EC2E-4DA5-9CBC-C8FB9334C3BD}"/>
    <hyperlink ref="W92" r:id="rId106" display="https://fbref.com/en/squads/822bd0ba/2023-2024/Liverpool-Stats" xr:uid="{73F8992A-F4E2-4FEB-9182-E4577867CEF3}"/>
    <hyperlink ref="W93" r:id="rId107" display="https://fbref.com/en/squads/e297cd13/2023-2024/Luton-Town-Stats" xr:uid="{9F1313B8-79D9-43A4-9FE6-B223410163DA}"/>
    <hyperlink ref="W94" r:id="rId108" display="https://fbref.com/en/squads/b8fd03ef/2023-2024/Manchester-City-Stats" xr:uid="{5A1EAA4C-2BFF-45BA-89B8-9FB75AF9104D}"/>
    <hyperlink ref="W95" r:id="rId109" display="https://fbref.com/en/squads/19538871/2023-2024/Manchester-United-Stats" xr:uid="{381C10BA-C70D-41ED-BCC8-02FED42BDCAC}"/>
    <hyperlink ref="W96" r:id="rId110" display="https://fbref.com/en/squads/b2b47a98/2023-2024/Newcastle-United-Stats" xr:uid="{3322BC8D-E02B-44E8-8416-933A6BBB2972}"/>
    <hyperlink ref="W97" r:id="rId111" display="https://fbref.com/en/squads/e4a775cb/2023-2024/Nottingham-Forest-Stats" xr:uid="{44D8C340-8C91-402F-B9C2-C5376E605215}"/>
    <hyperlink ref="W98" r:id="rId112" display="https://fbref.com/en/squads/1df6b87e/2023-2024/Sheffield-United-Stats" xr:uid="{ACCA52EB-5A90-4930-BCAC-DDA35444C861}"/>
    <hyperlink ref="W99" r:id="rId113" display="https://fbref.com/en/squads/361ca564/2023-2024/Tottenham-Hotspur-Stats" xr:uid="{C2238A4B-F220-4E74-9B1F-2C70E73CD3D4}"/>
    <hyperlink ref="W100" r:id="rId114" display="https://fbref.com/en/squads/7c21e445/2023-2024/West-Ham-United-Stats" xr:uid="{250079C1-5BA1-407B-AEC7-9FE3A7C4F361}"/>
    <hyperlink ref="W101" r:id="rId115" display="https://fbref.com/en/squads/8cec06e1/2023-2024/Wolverhampton-Wanderers-Stats" xr:uid="{65BD65FC-4FB1-448B-9A9B-3E2263ECD4BA}"/>
    <hyperlink ref="A105" r:id="rId116" display="https://fbref.com/en/squads/18bb7c10/2023-2024/Arsenal-Stats" xr:uid="{AB57ECDE-B996-4794-921C-E300F97094CF}"/>
    <hyperlink ref="A106" r:id="rId117" display="https://fbref.com/en/squads/8602292d/2023-2024/Aston-Villa-Stats" xr:uid="{4AB177B6-CA54-48BE-A986-D55B6780A14E}"/>
    <hyperlink ref="A107" r:id="rId118" display="https://fbref.com/en/squads/4ba7cbea/2023-2024/Bournemouth-Stats" xr:uid="{CAFDA42A-D2BC-4E4A-9005-83C085DE9575}"/>
    <hyperlink ref="A108" r:id="rId119" display="https://fbref.com/en/squads/cd051869/2023-2024/Brentford-Stats" xr:uid="{FC10BF9F-CAEC-40B7-9DF5-BCA30ECEDECA}"/>
    <hyperlink ref="A109" r:id="rId120" display="https://fbref.com/en/squads/d07537b9/2023-2024/Brighton-and-Hove-Albion-Stats" xr:uid="{CAFF5F8B-E803-4181-AF5C-4F912177B83F}"/>
    <hyperlink ref="A110" r:id="rId121" display="https://fbref.com/en/squads/943e8050/2023-2024/Burnley-Stats" xr:uid="{5C5EE3D0-DC5B-4F79-9F72-33585C288D17}"/>
    <hyperlink ref="A111" r:id="rId122" display="https://fbref.com/en/squads/cff3d9bb/2023-2024/Chelsea-Stats" xr:uid="{0E327F5F-6BEB-409D-81AE-3C5863E4F1C1}"/>
    <hyperlink ref="A112" r:id="rId123" display="https://fbref.com/en/squads/47c64c55/2023-2024/Crystal-Palace-Stats" xr:uid="{628B6160-D7F4-4186-9AB6-ECFBE04F303D}"/>
    <hyperlink ref="A113" r:id="rId124" display="https://fbref.com/en/squads/d3fd31cc/2023-2024/Everton-Stats" xr:uid="{EEBF852B-5021-469D-839B-A983F00DE1D9}"/>
    <hyperlink ref="A114" r:id="rId125" display="https://fbref.com/en/squads/fd962109/2023-2024/Fulham-Stats" xr:uid="{C55832DB-8AAB-407F-B44B-954C17C30EDA}"/>
    <hyperlink ref="A115" r:id="rId126" display="https://fbref.com/en/squads/822bd0ba/2023-2024/Liverpool-Stats" xr:uid="{5244AB69-88DC-4570-B820-E47AA19C8D5E}"/>
    <hyperlink ref="A116" r:id="rId127" display="https://fbref.com/en/squads/e297cd13/2023-2024/Luton-Town-Stats" xr:uid="{EED1A22C-903B-4FFF-8C91-EB16181AB912}"/>
    <hyperlink ref="A117" r:id="rId128" display="https://fbref.com/en/squads/b8fd03ef/2023-2024/Manchester-City-Stats" xr:uid="{4BF0DCA0-3994-4717-B7E3-F57C0703B3B3}"/>
    <hyperlink ref="A118" r:id="rId129" display="https://fbref.com/en/squads/19538871/2023-2024/Manchester-United-Stats" xr:uid="{080455AD-BFCE-4C04-AD26-D86BC3EC1A5B}"/>
    <hyperlink ref="A119" r:id="rId130" display="https://fbref.com/en/squads/b2b47a98/2023-2024/Newcastle-United-Stats" xr:uid="{C26201DF-4530-474A-A2A3-8BE00B2AA013}"/>
    <hyperlink ref="A120" r:id="rId131" display="https://fbref.com/en/squads/e4a775cb/2023-2024/Nottingham-Forest-Stats" xr:uid="{84083AAD-4B56-474B-8530-B83947C8E1F5}"/>
    <hyperlink ref="A121" r:id="rId132" display="https://fbref.com/en/squads/1df6b87e/2023-2024/Sheffield-United-Stats" xr:uid="{EC24D02E-85A8-4C70-A8D1-3E28E5E5E4DA}"/>
    <hyperlink ref="A122" r:id="rId133" display="https://fbref.com/en/squads/361ca564/2023-2024/Tottenham-Hotspur-Stats" xr:uid="{989D75A7-E23B-48E5-BFAD-7526B6435160}"/>
    <hyperlink ref="A123" r:id="rId134" display="https://fbref.com/en/squads/7c21e445/2023-2024/West-Ham-United-Stats" xr:uid="{7EA376A7-50A9-423B-8EB5-0D86DB58F838}"/>
    <hyperlink ref="A124" r:id="rId135" display="https://fbref.com/en/squads/8cec06e1/2023-2024/Wolverhampton-Wanderers-Stats" xr:uid="{05B9905C-E38E-439D-A75A-51FA157A5596}"/>
    <hyperlink ref="A128" r:id="rId136" display="https://fbref.com/en/squads/18bb7c10/2023-2024/Arsenal-Stats" xr:uid="{C046B5B6-5D58-4F3A-8175-0AE6E84D8A0C}"/>
    <hyperlink ref="A129" r:id="rId137" display="https://fbref.com/en/squads/8602292d/2023-2024/Aston-Villa-Stats" xr:uid="{6648F5DC-59D3-4DA3-85F4-88F60165D8F8}"/>
    <hyperlink ref="A130" r:id="rId138" display="https://fbref.com/en/squads/4ba7cbea/2023-2024/Bournemouth-Stats" xr:uid="{B7BD8B35-3C34-4AAE-BA5B-587D06D05A0A}"/>
    <hyperlink ref="A131" r:id="rId139" display="https://fbref.com/en/squads/cd051869/2023-2024/Brentford-Stats" xr:uid="{D0C5652A-BD87-4205-9F64-361A8F6C93BB}"/>
    <hyperlink ref="A132" r:id="rId140" display="https://fbref.com/en/squads/d07537b9/2023-2024/Brighton-and-Hove-Albion-Stats" xr:uid="{0A343050-0FFC-443D-91C5-FB7290CC114C}"/>
    <hyperlink ref="A133" r:id="rId141" display="https://fbref.com/en/squads/943e8050/2023-2024/Burnley-Stats" xr:uid="{7EC5B037-C209-4701-9D7E-BFA9F326EDEB}"/>
    <hyperlink ref="A134" r:id="rId142" display="https://fbref.com/en/squads/cff3d9bb/2023-2024/Chelsea-Stats" xr:uid="{3746C3B4-87BB-4C3E-89BF-18123FB9290C}"/>
    <hyperlink ref="A135" r:id="rId143" display="https://fbref.com/en/squads/47c64c55/2023-2024/Crystal-Palace-Stats" xr:uid="{B5671038-D830-4033-962F-9636F5B5CDED}"/>
    <hyperlink ref="A136" r:id="rId144" display="https://fbref.com/en/squads/d3fd31cc/2023-2024/Everton-Stats" xr:uid="{5B0FE5BF-D8B9-46E6-BAC3-932D08BCD677}"/>
    <hyperlink ref="A137" r:id="rId145" display="https://fbref.com/en/squads/fd962109/2023-2024/Fulham-Stats" xr:uid="{47FA039A-C516-4228-B25E-D442A4DF792F}"/>
    <hyperlink ref="A138" r:id="rId146" display="https://fbref.com/en/squads/822bd0ba/2023-2024/Liverpool-Stats" xr:uid="{A1F6CB6B-AA82-4E2E-9D02-B4DA63B92B73}"/>
    <hyperlink ref="A139" r:id="rId147" display="https://fbref.com/en/squads/e297cd13/2023-2024/Luton-Town-Stats" xr:uid="{215FEE2F-363F-4CBE-91A5-8E93B429FF14}"/>
    <hyperlink ref="A140" r:id="rId148" display="https://fbref.com/en/squads/b8fd03ef/2023-2024/Manchester-City-Stats" xr:uid="{99ADCDCC-FF0A-44C4-B75F-DB8E1BB9A092}"/>
    <hyperlink ref="A141" r:id="rId149" display="https://fbref.com/en/squads/19538871/2023-2024/Manchester-United-Stats" xr:uid="{0F88E7B9-4FD1-4E2F-938D-1C93B4A52D65}"/>
    <hyperlink ref="A142" r:id="rId150" display="https://fbref.com/en/squads/b2b47a98/2023-2024/Newcastle-United-Stats" xr:uid="{88433C3A-186E-461C-9C73-92E8091DE602}"/>
    <hyperlink ref="A143" r:id="rId151" display="https://fbref.com/en/squads/e4a775cb/2023-2024/Nottingham-Forest-Stats" xr:uid="{9D715E0A-AA83-4340-8227-429491656AA2}"/>
    <hyperlink ref="A144" r:id="rId152" display="https://fbref.com/en/squads/1df6b87e/2023-2024/Sheffield-United-Stats" xr:uid="{A45C4845-9966-4F9D-AFF0-2E81D2820BA4}"/>
    <hyperlink ref="A145" r:id="rId153" display="https://fbref.com/en/squads/361ca564/2023-2024/Tottenham-Hotspur-Stats" xr:uid="{C29F36A1-B994-4B12-8589-F8EFE0DAFAF5}"/>
    <hyperlink ref="A146" r:id="rId154" display="https://fbref.com/en/squads/7c21e445/2023-2024/West-Ham-United-Stats" xr:uid="{2FD32BAB-0A1A-459D-AEF3-A27FE2FCA25B}"/>
    <hyperlink ref="A147" r:id="rId155" display="https://fbref.com/en/squads/8cec06e1/2023-2024/Wolverhampton-Wanderers-Stats" xr:uid="{7AC42BDD-3D1B-4AC0-AD45-697A9ADAD9C5}"/>
  </hyperlinks>
  <pageMargins left="0.7" right="0.7" top="0.75" bottom="0.75" header="0.3" footer="0.3"/>
  <drawing r:id="rId15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30DB-0F5A-4A46-A89D-30A6E3FC01BF}">
  <dimension ref="A1:AS161"/>
  <sheetViews>
    <sheetView topLeftCell="A131" zoomScale="80" zoomScaleNormal="80" workbookViewId="0">
      <selection activeCell="AC140" sqref="AC140"/>
    </sheetView>
  </sheetViews>
  <sheetFormatPr baseColWidth="10" defaultColWidth="11.125" defaultRowHeight="15.75" x14ac:dyDescent="0.25"/>
  <cols>
    <col min="2" max="2" width="17" bestFit="1" customWidth="1"/>
    <col min="3" max="3" width="24.125" bestFit="1" customWidth="1"/>
    <col min="4" max="4" width="12" bestFit="1" customWidth="1"/>
    <col min="5" max="5" width="14.125" bestFit="1" customWidth="1"/>
    <col min="6" max="6" width="16.875" bestFit="1" customWidth="1"/>
    <col min="7" max="7" width="15" bestFit="1" customWidth="1"/>
    <col min="8" max="8" width="16.375" bestFit="1" customWidth="1"/>
    <col min="9" max="9" width="12.875" bestFit="1" customWidth="1"/>
    <col min="10" max="10" width="45.875" bestFit="1" customWidth="1"/>
    <col min="11" max="11" width="48.125" bestFit="1" customWidth="1"/>
    <col min="12" max="12" width="31.125" bestFit="1" customWidth="1"/>
  </cols>
  <sheetData>
    <row r="1" spans="1:45" x14ac:dyDescent="0.25">
      <c r="A1" t="s">
        <v>0</v>
      </c>
      <c r="B1" t="s">
        <v>24</v>
      </c>
      <c r="C1" t="s">
        <v>20</v>
      </c>
      <c r="D1" t="s">
        <v>42</v>
      </c>
      <c r="E1" t="s">
        <v>43</v>
      </c>
      <c r="F1" t="s">
        <v>21</v>
      </c>
      <c r="G1" t="s">
        <v>22</v>
      </c>
      <c r="H1" t="s">
        <v>23</v>
      </c>
      <c r="I1" t="s">
        <v>46</v>
      </c>
      <c r="J1" t="s">
        <v>47</v>
      </c>
      <c r="K1" t="s">
        <v>53</v>
      </c>
      <c r="L1" t="s">
        <v>55</v>
      </c>
      <c r="M1" t="s">
        <v>54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63</v>
      </c>
      <c r="T1" t="s">
        <v>61</v>
      </c>
      <c r="U1" t="s">
        <v>62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44</v>
      </c>
      <c r="AF1" t="s">
        <v>45</v>
      </c>
      <c r="AG1" t="s">
        <v>73</v>
      </c>
      <c r="AH1" t="s">
        <v>74</v>
      </c>
      <c r="AI1" t="s">
        <v>51</v>
      </c>
      <c r="AJ1" t="s">
        <v>75</v>
      </c>
      <c r="AK1" t="s">
        <v>76</v>
      </c>
      <c r="AL1" t="s">
        <v>77</v>
      </c>
      <c r="AM1" t="s">
        <v>78</v>
      </c>
      <c r="AN1" t="s">
        <v>101</v>
      </c>
      <c r="AO1" t="s">
        <v>102</v>
      </c>
      <c r="AP1" t="s">
        <v>104</v>
      </c>
      <c r="AQ1" t="s">
        <v>105</v>
      </c>
      <c r="AR1" t="s">
        <v>106</v>
      </c>
      <c r="AS1" t="s">
        <v>92</v>
      </c>
    </row>
    <row r="2" spans="1:45" x14ac:dyDescent="0.25">
      <c r="A2">
        <v>1</v>
      </c>
      <c r="B2" t="str">
        <f>_xlfn.XLOOKUP($A2,'2015-2016'!$B$4:$B$23,'2015-2016'!C$4:C$23)</f>
        <v>Leicester City</v>
      </c>
      <c r="C2">
        <f>_xlfn.XLOOKUP($A2,'2015-2016'!$B$4:$B$23,'2015-2016'!D$4:D$23)</f>
        <v>68</v>
      </c>
      <c r="D2">
        <f>_xlfn.XLOOKUP($A2,'2015-2016'!$B$4:$B$23,'2015-2016'!E$4:E$23)</f>
        <v>36</v>
      </c>
      <c r="E2">
        <f>_xlfn.XLOOKUP($A2,'2015-2016'!$B$4:$B$23,'2015-2016'!F$4:F$23)</f>
        <v>32</v>
      </c>
      <c r="F2">
        <f>_xlfn.XLOOKUP($A2,'2015-2016'!$B$4:$B$23,'2015-2016'!G$4:G$23)</f>
        <v>15</v>
      </c>
      <c r="G2">
        <f>_xlfn.XLOOKUP($A2,'2015-2016'!$B$4:$B$23,'2015-2016'!H$4:H$23)</f>
        <v>48</v>
      </c>
      <c r="H2">
        <f>_xlfn.XLOOKUP($A2,'2015-2016'!$B$4:$B$23,'2015-2016'!I$4:I$23)</f>
        <v>3</v>
      </c>
      <c r="I2" t="str">
        <f>_xlfn.XLOOKUP($A2,'2015-2016'!$B$4:$B$23,'2015-2016'!J$4:J$23)</f>
        <v>NA</v>
      </c>
      <c r="J2" t="str">
        <f>_xlfn.XLOOKUP($A2,'2015-2016'!$B$4:$B$23,'2015-2016'!K$4:K$23)</f>
        <v>NA</v>
      </c>
      <c r="K2" t="str">
        <f>_xlfn.XLOOKUP($A2,'2015-2016'!$B$4:$B$23,'2015-2016'!L$4:L$23)</f>
        <v>NA</v>
      </c>
      <c r="L2">
        <f>_xlfn.XLOOKUP($A2,'2015-2016'!$B$4:$B$23,'2015-2016'!M$4:M$23)</f>
        <v>522</v>
      </c>
      <c r="M2">
        <f>_xlfn.XLOOKUP($A2,'2015-2016'!$B$4:$B$23,'2015-2016'!N$4:N$23)</f>
        <v>179</v>
      </c>
      <c r="N2">
        <f>_xlfn.XLOOKUP($A2,'2015-2016'!$B$4:$B$23,'2015-2016'!O$4:O$23)</f>
        <v>10</v>
      </c>
      <c r="O2">
        <f>_xlfn.XLOOKUP($A2,'2015-2016'!$B$4:$B$23,'2015-2016'!P$4:P$23)</f>
        <v>11</v>
      </c>
      <c r="P2">
        <f>_xlfn.XLOOKUP($A2,'2015-2016'!$B$4:$B$23,'2015-2016'!Q$4:Q$23)</f>
        <v>65</v>
      </c>
      <c r="Q2">
        <f>_xlfn.XLOOKUP($A2,'2015-2016'!$B$4:$B$23,'2015-2016'!R$4:R$23)</f>
        <v>3</v>
      </c>
      <c r="R2">
        <f>_xlfn.XLOOKUP($A2,'2015-2016'!$B$4:$B$23,'2015-2016'!S$4:S$23)</f>
        <v>6</v>
      </c>
      <c r="S2">
        <f>_xlfn.XLOOKUP($A2,'2015-2016'!$B$4:$B$23,'2015-2016'!T$4:T$23)</f>
        <v>50</v>
      </c>
      <c r="T2">
        <f>_xlfn.XLOOKUP($A2,'2015-2016'!$B$4:$B$23,'2015-2016'!U$4:U$23)</f>
        <v>0</v>
      </c>
      <c r="U2">
        <f>_xlfn.XLOOKUP($A2,'2015-2016'!$B$4:$B$23,'2015-2016'!V$4:V$23)</f>
        <v>4</v>
      </c>
      <c r="V2">
        <f>_xlfn.XLOOKUP($A2,'2015-2016'!$B$4:$B$23,'2015-2016'!W$4:W$23)</f>
        <v>99</v>
      </c>
      <c r="W2">
        <f>_xlfn.XLOOKUP($A2,'2015-2016'!$B$4:$B$23,'2015-2016'!X$4:X$23)</f>
        <v>1040</v>
      </c>
      <c r="X2">
        <f>_xlfn.XLOOKUP($A2,'2015-2016'!$B$4:$B$23,'2015-2016'!Y$4:Y$23)</f>
        <v>869</v>
      </c>
      <c r="Y2">
        <f>_xlfn.XLOOKUP($A2,'2015-2016'!$B$4:$B$23,'2015-2016'!Z$4:Z$23)</f>
        <v>406</v>
      </c>
      <c r="Z2">
        <f>_xlfn.XLOOKUP($A2,'2015-2016'!$B$4:$B$23,'2015-2016'!AA$4:AA$23)</f>
        <v>13370</v>
      </c>
      <c r="AA2">
        <f>_xlfn.XLOOKUP($A2,'2015-2016'!$B$4:$B$23,'2015-2016'!AB$4:AB$23)</f>
        <v>54</v>
      </c>
      <c r="AB2">
        <f>_xlfn.XLOOKUP($A2,'2015-2016'!$B$4:$B$23,'2015-2016'!AC$4:AC$23)</f>
        <v>1970</v>
      </c>
      <c r="AC2">
        <f>_xlfn.XLOOKUP($A2,'2015-2016'!$B$4:$B$23,'2015-2016'!AD$4:AD$23)</f>
        <v>762</v>
      </c>
      <c r="AD2">
        <f>_xlfn.XLOOKUP($A2,'2015-2016'!$B$4:$B$23,'2015-2016'!AE$4:AE$23)</f>
        <v>197</v>
      </c>
      <c r="AE2">
        <f>_xlfn.XLOOKUP($A2,'2015-2016'!$B$4:$B$23,'2015-2016'!AF$4:AF$23)</f>
        <v>49.9</v>
      </c>
      <c r="AF2">
        <f>_xlfn.XLOOKUP($A2,'2015-2016'!$B$4:$B$23,'2015-2016'!AG$4:AG$23)</f>
        <v>9.4499999999999993</v>
      </c>
      <c r="AG2">
        <f>_xlfn.XLOOKUP($A2,'2015-2016'!$B$4:$B$23,'2015-2016'!AH$4:AH$23)</f>
        <v>25</v>
      </c>
      <c r="AH2">
        <f>_xlfn.XLOOKUP($A2,'2015-2016'!$B$4:$B$23,'2015-2016'!AI$4:AI$23)</f>
        <v>32</v>
      </c>
      <c r="AI2">
        <f>_xlfn.XLOOKUP($A2,'2015-2016'!$B$4:$B$23,'2015-2016'!AJ$4:AJ$23)</f>
        <v>161.1</v>
      </c>
      <c r="AJ2">
        <f>_xlfn.XLOOKUP($A2,'2015-2016'!$B$4:$B$23,'2015-2016'!AK$4:AK$23)</f>
        <v>35</v>
      </c>
      <c r="AK2">
        <f>_xlfn.XLOOKUP($A2,'2015-2016'!$B$4:$B$23,'2015-2016'!AL$4:AL$23)</f>
        <v>4.6028571428571423</v>
      </c>
      <c r="AL2">
        <f>_xlfn.XLOOKUP($A2,'2015-2016'!$B$4:$B$23,'2015-2016'!AM$4:AM$23)</f>
        <v>31998</v>
      </c>
      <c r="AM2">
        <f>_xlfn.XLOOKUP($A2,'2015-2016'!$B$4:$B$23,'2015-2016'!AN$4:AN$23)</f>
        <v>0</v>
      </c>
      <c r="AN2">
        <f>_xlfn.XLOOKUP($A2,'2015-2016'!$B$4:$B$23,'2015-2016'!AO$4:AO$23)</f>
        <v>0</v>
      </c>
      <c r="AO2">
        <f>_xlfn.XLOOKUP($A2,'2015-2016'!$B$4:$B$23,'2015-2016'!AP$4:AP$23)</f>
        <v>0</v>
      </c>
      <c r="AP2">
        <f>_xlfn.XLOOKUP($A2,'2015-2016'!$B$4:$B$23,'2015-2016'!AQ$4:AQ$23)</f>
        <v>1</v>
      </c>
      <c r="AQ2">
        <f>_xlfn.XLOOKUP($A2,'2015-2016'!$B$4:$B$23,'2015-2016'!AR$4:AR$23)</f>
        <v>0</v>
      </c>
      <c r="AR2">
        <f>_xlfn.XLOOKUP($A2,'2015-2016'!$B$4:$B$23,'2015-2016'!AS$4:AS$23)</f>
        <v>0</v>
      </c>
      <c r="AS2" t="str">
        <f>_xlfn.XLOOKUP($A2,'2015-2016'!$B$4:$B$23,'2015-2016'!AT$4:AT$23)</f>
        <v>15/16</v>
      </c>
    </row>
    <row r="3" spans="1:45" x14ac:dyDescent="0.25">
      <c r="A3">
        <v>2</v>
      </c>
      <c r="B3" t="str">
        <f>_xlfn.XLOOKUP($A3,'2015-2016'!$B$4:$B$23,'2015-2016'!C$4:C$23)</f>
        <v>Arsenal</v>
      </c>
      <c r="C3">
        <f>_xlfn.XLOOKUP($A3,'2015-2016'!$B$4:$B$23,'2015-2016'!D$4:D$23)</f>
        <v>65</v>
      </c>
      <c r="D3">
        <f>_xlfn.XLOOKUP($A3,'2015-2016'!$B$4:$B$23,'2015-2016'!E$4:E$23)</f>
        <v>36</v>
      </c>
      <c r="E3">
        <f>_xlfn.XLOOKUP($A3,'2015-2016'!$B$4:$B$23,'2015-2016'!F$4:F$23)</f>
        <v>29</v>
      </c>
      <c r="F3">
        <f>_xlfn.XLOOKUP($A3,'2015-2016'!$B$4:$B$23,'2015-2016'!G$4:G$23)</f>
        <v>18</v>
      </c>
      <c r="G3">
        <f>_xlfn.XLOOKUP($A3,'2015-2016'!$B$4:$B$23,'2015-2016'!H$4:H$23)</f>
        <v>40</v>
      </c>
      <c r="H3">
        <f>_xlfn.XLOOKUP($A3,'2015-2016'!$B$4:$B$23,'2015-2016'!I$4:I$23)</f>
        <v>4</v>
      </c>
      <c r="I3" t="str">
        <f>_xlfn.XLOOKUP($A3,'2015-2016'!$B$4:$B$23,'2015-2016'!J$4:J$23)</f>
        <v>NA</v>
      </c>
      <c r="J3" t="str">
        <f>_xlfn.XLOOKUP($A3,'2015-2016'!$B$4:$B$23,'2015-2016'!K$4:K$23)</f>
        <v>NA</v>
      </c>
      <c r="K3" t="str">
        <f>_xlfn.XLOOKUP($A3,'2015-2016'!$B$4:$B$23,'2015-2016'!L$4:L$23)</f>
        <v>NA</v>
      </c>
      <c r="L3">
        <f>_xlfn.XLOOKUP($A3,'2015-2016'!$B$4:$B$23,'2015-2016'!M$4:M$23)</f>
        <v>571</v>
      </c>
      <c r="M3">
        <f>_xlfn.XLOOKUP($A3,'2015-2016'!$B$4:$B$23,'2015-2016'!N$4:N$23)</f>
        <v>211</v>
      </c>
      <c r="N3">
        <f>_xlfn.XLOOKUP($A3,'2015-2016'!$B$4:$B$23,'2015-2016'!O$4:O$23)</f>
        <v>1</v>
      </c>
      <c r="O3">
        <f>_xlfn.XLOOKUP($A3,'2015-2016'!$B$4:$B$23,'2015-2016'!P$4:P$23)</f>
        <v>13</v>
      </c>
      <c r="P3">
        <f>_xlfn.XLOOKUP($A3,'2015-2016'!$B$4:$B$23,'2015-2016'!Q$4:Q$23)</f>
        <v>61</v>
      </c>
      <c r="Q3">
        <f>_xlfn.XLOOKUP($A3,'2015-2016'!$B$4:$B$23,'2015-2016'!R$4:R$23)</f>
        <v>4</v>
      </c>
      <c r="R3">
        <f>_xlfn.XLOOKUP($A3,'2015-2016'!$B$4:$B$23,'2015-2016'!S$4:S$23)</f>
        <v>3</v>
      </c>
      <c r="S3">
        <f>_xlfn.XLOOKUP($A3,'2015-2016'!$B$4:$B$23,'2015-2016'!T$4:T$23)</f>
        <v>86</v>
      </c>
      <c r="T3">
        <f>_xlfn.XLOOKUP($A3,'2015-2016'!$B$4:$B$23,'2015-2016'!U$4:U$23)</f>
        <v>3</v>
      </c>
      <c r="U3">
        <f>_xlfn.XLOOKUP($A3,'2015-2016'!$B$4:$B$23,'2015-2016'!V$4:V$23)</f>
        <v>1</v>
      </c>
      <c r="V3">
        <f>_xlfn.XLOOKUP($A3,'2015-2016'!$B$4:$B$23,'2015-2016'!W$4:W$23)</f>
        <v>118</v>
      </c>
      <c r="W3">
        <f>_xlfn.XLOOKUP($A3,'2015-2016'!$B$4:$B$23,'2015-2016'!X$4:X$23)</f>
        <v>849</v>
      </c>
      <c r="X3">
        <f>_xlfn.XLOOKUP($A3,'2015-2016'!$B$4:$B$23,'2015-2016'!Y$4:Y$23)</f>
        <v>709</v>
      </c>
      <c r="Y3">
        <f>_xlfn.XLOOKUP($A3,'2015-2016'!$B$4:$B$23,'2015-2016'!Z$4:Z$23)</f>
        <v>348</v>
      </c>
      <c r="Z3">
        <f>_xlfn.XLOOKUP($A3,'2015-2016'!$B$4:$B$23,'2015-2016'!AA$4:AA$23)</f>
        <v>21249</v>
      </c>
      <c r="AA3">
        <f>_xlfn.XLOOKUP($A3,'2015-2016'!$B$4:$B$23,'2015-2016'!AB$4:AB$23)</f>
        <v>168</v>
      </c>
      <c r="AB3">
        <f>_xlfn.XLOOKUP($A3,'2015-2016'!$B$4:$B$23,'2015-2016'!AC$4:AC$23)</f>
        <v>2946</v>
      </c>
      <c r="AC3">
        <f>_xlfn.XLOOKUP($A3,'2015-2016'!$B$4:$B$23,'2015-2016'!AD$4:AD$23)</f>
        <v>754</v>
      </c>
      <c r="AD3">
        <f>_xlfn.XLOOKUP($A3,'2015-2016'!$B$4:$B$23,'2015-2016'!AE$4:AE$23)</f>
        <v>227</v>
      </c>
      <c r="AE3">
        <f>_xlfn.XLOOKUP($A3,'2015-2016'!$B$4:$B$23,'2015-2016'!AF$4:AF$23)</f>
        <v>26.5</v>
      </c>
      <c r="AF3">
        <f>_xlfn.XLOOKUP($A3,'2015-2016'!$B$4:$B$23,'2015-2016'!AG$4:AG$23)</f>
        <v>2.5</v>
      </c>
      <c r="AG3">
        <f>_xlfn.XLOOKUP($A3,'2015-2016'!$B$4:$B$23,'2015-2016'!AH$4:AH$23)</f>
        <v>15</v>
      </c>
      <c r="AH3">
        <f>_xlfn.XLOOKUP($A3,'2015-2016'!$B$4:$B$23,'2015-2016'!AI$4:AI$23)</f>
        <v>12</v>
      </c>
      <c r="AI3">
        <f>_xlfn.XLOOKUP($A3,'2015-2016'!$B$4:$B$23,'2015-2016'!AJ$4:AJ$23)</f>
        <v>457.85</v>
      </c>
      <c r="AJ3">
        <f>_xlfn.XLOOKUP($A3,'2015-2016'!$B$4:$B$23,'2015-2016'!AK$4:AK$23)</f>
        <v>41</v>
      </c>
      <c r="AK3">
        <f>_xlfn.XLOOKUP($A3,'2015-2016'!$B$4:$B$23,'2015-2016'!AL$4:AL$23)</f>
        <v>11.167073170731708</v>
      </c>
      <c r="AL3">
        <f>_xlfn.XLOOKUP($A3,'2015-2016'!$B$4:$B$23,'2015-2016'!AM$4:AM$23)</f>
        <v>59944</v>
      </c>
      <c r="AM3">
        <f>_xlfn.XLOOKUP($A3,'2015-2016'!$B$4:$B$23,'2015-2016'!AN$4:AN$23)</f>
        <v>0.17</v>
      </c>
      <c r="AN3">
        <f>_xlfn.XLOOKUP($A3,'2015-2016'!$B$4:$B$23,'2015-2016'!AO$4:AO$23)</f>
        <v>1</v>
      </c>
      <c r="AO3">
        <f>_xlfn.XLOOKUP($A3,'2015-2016'!$B$4:$B$23,'2015-2016'!AP$4:AP$23)</f>
        <v>0</v>
      </c>
      <c r="AP3">
        <f>_xlfn.XLOOKUP($A3,'2015-2016'!$B$4:$B$23,'2015-2016'!AQ$4:AQ$23)</f>
        <v>1</v>
      </c>
      <c r="AQ3">
        <f>_xlfn.XLOOKUP($A3,'2015-2016'!$B$4:$B$23,'2015-2016'!AR$4:AR$23)</f>
        <v>0</v>
      </c>
      <c r="AR3">
        <f>_xlfn.XLOOKUP($A3,'2015-2016'!$B$4:$B$23,'2015-2016'!AS$4:AS$23)</f>
        <v>1</v>
      </c>
      <c r="AS3" t="str">
        <f>_xlfn.XLOOKUP($A3,'2015-2016'!$B$4:$B$23,'2015-2016'!AT$4:AT$23)</f>
        <v>15/16</v>
      </c>
    </row>
    <row r="4" spans="1:45" x14ac:dyDescent="0.25">
      <c r="A4">
        <v>3</v>
      </c>
      <c r="B4" t="str">
        <f>_xlfn.XLOOKUP($A4,'2015-2016'!$B$4:$B$23,'2015-2016'!C$4:C$23)</f>
        <v>Tottenham Hotspur</v>
      </c>
      <c r="C4">
        <f>_xlfn.XLOOKUP($A4,'2015-2016'!$B$4:$B$23,'2015-2016'!D$4:D$23)</f>
        <v>69</v>
      </c>
      <c r="D4">
        <f>_xlfn.XLOOKUP($A4,'2015-2016'!$B$4:$B$23,'2015-2016'!E$4:E$23)</f>
        <v>35</v>
      </c>
      <c r="E4">
        <f>_xlfn.XLOOKUP($A4,'2015-2016'!$B$4:$B$23,'2015-2016'!F$4:F$23)</f>
        <v>34</v>
      </c>
      <c r="F4">
        <f>_xlfn.XLOOKUP($A4,'2015-2016'!$B$4:$B$23,'2015-2016'!G$4:G$23)</f>
        <v>13</v>
      </c>
      <c r="G4">
        <f>_xlfn.XLOOKUP($A4,'2015-2016'!$B$4:$B$23,'2015-2016'!H$4:H$23)</f>
        <v>72</v>
      </c>
      <c r="H4">
        <f>_xlfn.XLOOKUP($A4,'2015-2016'!$B$4:$B$23,'2015-2016'!I$4:I$23)</f>
        <v>1</v>
      </c>
      <c r="I4" t="str">
        <f>_xlfn.XLOOKUP($A4,'2015-2016'!$B$4:$B$23,'2015-2016'!J$4:J$23)</f>
        <v>NA</v>
      </c>
      <c r="J4" t="str">
        <f>_xlfn.XLOOKUP($A4,'2015-2016'!$B$4:$B$23,'2015-2016'!K$4:K$23)</f>
        <v>NA</v>
      </c>
      <c r="K4" t="str">
        <f>_xlfn.XLOOKUP($A4,'2015-2016'!$B$4:$B$23,'2015-2016'!L$4:L$23)</f>
        <v>NA</v>
      </c>
      <c r="L4">
        <f>_xlfn.XLOOKUP($A4,'2015-2016'!$B$4:$B$23,'2015-2016'!M$4:M$23)</f>
        <v>659</v>
      </c>
      <c r="M4">
        <f>_xlfn.XLOOKUP($A4,'2015-2016'!$B$4:$B$23,'2015-2016'!N$4:N$23)</f>
        <v>252</v>
      </c>
      <c r="N4">
        <f>_xlfn.XLOOKUP($A4,'2015-2016'!$B$4:$B$23,'2015-2016'!O$4:O$23)</f>
        <v>5</v>
      </c>
      <c r="O4">
        <f>_xlfn.XLOOKUP($A4,'2015-2016'!$B$4:$B$23,'2015-2016'!P$4:P$23)</f>
        <v>7</v>
      </c>
      <c r="P4">
        <f>_xlfn.XLOOKUP($A4,'2015-2016'!$B$4:$B$23,'2015-2016'!Q$4:Q$23)</f>
        <v>59</v>
      </c>
      <c r="Q4">
        <f>_xlfn.XLOOKUP($A4,'2015-2016'!$B$4:$B$23,'2015-2016'!R$4:R$23)</f>
        <v>10</v>
      </c>
      <c r="R4">
        <f>_xlfn.XLOOKUP($A4,'2015-2016'!$B$4:$B$23,'2015-2016'!S$4:S$23)</f>
        <v>3</v>
      </c>
      <c r="S4">
        <f>_xlfn.XLOOKUP($A4,'2015-2016'!$B$4:$B$23,'2015-2016'!T$4:T$23)</f>
        <v>72</v>
      </c>
      <c r="T4">
        <f>_xlfn.XLOOKUP($A4,'2015-2016'!$B$4:$B$23,'2015-2016'!U$4:U$23)</f>
        <v>3</v>
      </c>
      <c r="U4">
        <f>_xlfn.XLOOKUP($A4,'2015-2016'!$B$4:$B$23,'2015-2016'!V$4:V$23)</f>
        <v>2</v>
      </c>
      <c r="V4">
        <f>_xlfn.XLOOKUP($A4,'2015-2016'!$B$4:$B$23,'2015-2016'!W$4:W$23)</f>
        <v>89</v>
      </c>
      <c r="W4">
        <f>_xlfn.XLOOKUP($A4,'2015-2016'!$B$4:$B$23,'2015-2016'!X$4:X$23)</f>
        <v>1046</v>
      </c>
      <c r="X4">
        <f>_xlfn.XLOOKUP($A4,'2015-2016'!$B$4:$B$23,'2015-2016'!Y$4:Y$23)</f>
        <v>805</v>
      </c>
      <c r="Y4">
        <f>_xlfn.XLOOKUP($A4,'2015-2016'!$B$4:$B$23,'2015-2016'!Z$4:Z$23)</f>
        <v>451</v>
      </c>
      <c r="Z4">
        <f>_xlfn.XLOOKUP($A4,'2015-2016'!$B$4:$B$23,'2015-2016'!AA$4:AA$23)</f>
        <v>18649</v>
      </c>
      <c r="AA4">
        <f>_xlfn.XLOOKUP($A4,'2015-2016'!$B$4:$B$23,'2015-2016'!AB$4:AB$23)</f>
        <v>64</v>
      </c>
      <c r="AB4">
        <f>_xlfn.XLOOKUP($A4,'2015-2016'!$B$4:$B$23,'2015-2016'!AC$4:AC$23)</f>
        <v>2708</v>
      </c>
      <c r="AC4">
        <f>_xlfn.XLOOKUP($A4,'2015-2016'!$B$4:$B$23,'2015-2016'!AD$4:AD$23)</f>
        <v>738</v>
      </c>
      <c r="AD4">
        <f>_xlfn.XLOOKUP($A4,'2015-2016'!$B$4:$B$23,'2015-2016'!AE$4:AE$23)</f>
        <v>254</v>
      </c>
      <c r="AE4">
        <f>_xlfn.XLOOKUP($A4,'2015-2016'!$B$4:$B$23,'2015-2016'!AF$4:AF$23)</f>
        <v>71</v>
      </c>
      <c r="AF4">
        <f>_xlfn.XLOOKUP($A4,'2015-2016'!$B$4:$B$23,'2015-2016'!AG$4:AG$23)</f>
        <v>87.25</v>
      </c>
      <c r="AG4">
        <f>_xlfn.XLOOKUP($A4,'2015-2016'!$B$4:$B$23,'2015-2016'!AH$4:AH$23)</f>
        <v>11</v>
      </c>
      <c r="AH4">
        <f>_xlfn.XLOOKUP($A4,'2015-2016'!$B$4:$B$23,'2015-2016'!AI$4:AI$23)</f>
        <v>21</v>
      </c>
      <c r="AI4">
        <f>_xlfn.XLOOKUP($A4,'2015-2016'!$B$4:$B$23,'2015-2016'!AJ$4:AJ$23)</f>
        <v>371.85</v>
      </c>
      <c r="AJ4">
        <f>_xlfn.XLOOKUP($A4,'2015-2016'!$B$4:$B$23,'2015-2016'!AK$4:AK$23)</f>
        <v>31</v>
      </c>
      <c r="AK4">
        <f>_xlfn.XLOOKUP($A4,'2015-2016'!$B$4:$B$23,'2015-2016'!AL$4:AL$23)</f>
        <v>11.995161290322581</v>
      </c>
      <c r="AL4">
        <f>_xlfn.XLOOKUP($A4,'2015-2016'!$B$4:$B$23,'2015-2016'!AM$4:AM$23)</f>
        <v>35776</v>
      </c>
      <c r="AM4">
        <f>_xlfn.XLOOKUP($A4,'2015-2016'!$B$4:$B$23,'2015-2016'!AN$4:AN$23)</f>
        <v>0.08</v>
      </c>
      <c r="AN4">
        <f>_xlfn.XLOOKUP($A4,'2015-2016'!$B$4:$B$23,'2015-2016'!AO$4:AO$23)</f>
        <v>1</v>
      </c>
      <c r="AO4">
        <f>_xlfn.XLOOKUP($A4,'2015-2016'!$B$4:$B$23,'2015-2016'!AP$4:AP$23)</f>
        <v>0</v>
      </c>
      <c r="AP4">
        <f>_xlfn.XLOOKUP($A4,'2015-2016'!$B$4:$B$23,'2015-2016'!AQ$4:AQ$23)</f>
        <v>1</v>
      </c>
      <c r="AQ4">
        <f>_xlfn.XLOOKUP($A4,'2015-2016'!$B$4:$B$23,'2015-2016'!AR$4:AR$23)</f>
        <v>0</v>
      </c>
      <c r="AR4">
        <f>_xlfn.XLOOKUP($A4,'2015-2016'!$B$4:$B$23,'2015-2016'!AS$4:AS$23)</f>
        <v>1</v>
      </c>
      <c r="AS4" t="str">
        <f>_xlfn.XLOOKUP($A4,'2015-2016'!$B$4:$B$23,'2015-2016'!AT$4:AT$23)</f>
        <v>15/16</v>
      </c>
    </row>
    <row r="5" spans="1:45" x14ac:dyDescent="0.25">
      <c r="A5">
        <v>4</v>
      </c>
      <c r="B5" t="str">
        <f>_xlfn.XLOOKUP($A5,'2015-2016'!$B$4:$B$23,'2015-2016'!C$4:C$23)</f>
        <v>Manchester City</v>
      </c>
      <c r="C5">
        <f>_xlfn.XLOOKUP($A5,'2015-2016'!$B$4:$B$23,'2015-2016'!D$4:D$23)</f>
        <v>71</v>
      </c>
      <c r="D5">
        <f>_xlfn.XLOOKUP($A5,'2015-2016'!$B$4:$B$23,'2015-2016'!E$4:E$23)</f>
        <v>41</v>
      </c>
      <c r="E5">
        <f>_xlfn.XLOOKUP($A5,'2015-2016'!$B$4:$B$23,'2015-2016'!F$4:F$23)</f>
        <v>30</v>
      </c>
      <c r="F5">
        <f>_xlfn.XLOOKUP($A5,'2015-2016'!$B$4:$B$23,'2015-2016'!G$4:G$23)</f>
        <v>16</v>
      </c>
      <c r="G5">
        <f>_xlfn.XLOOKUP($A5,'2015-2016'!$B$4:$B$23,'2015-2016'!H$4:H$23)</f>
        <v>61</v>
      </c>
      <c r="H5">
        <f>_xlfn.XLOOKUP($A5,'2015-2016'!$B$4:$B$23,'2015-2016'!I$4:I$23)</f>
        <v>1</v>
      </c>
      <c r="I5" t="str">
        <f>_xlfn.XLOOKUP($A5,'2015-2016'!$B$4:$B$23,'2015-2016'!J$4:J$23)</f>
        <v>NA</v>
      </c>
      <c r="J5" t="str">
        <f>_xlfn.XLOOKUP($A5,'2015-2016'!$B$4:$B$23,'2015-2016'!K$4:K$23)</f>
        <v>NA</v>
      </c>
      <c r="K5" t="str">
        <f>_xlfn.XLOOKUP($A5,'2015-2016'!$B$4:$B$23,'2015-2016'!L$4:L$23)</f>
        <v>NA</v>
      </c>
      <c r="L5">
        <f>_xlfn.XLOOKUP($A5,'2015-2016'!$B$4:$B$23,'2015-2016'!M$4:M$23)</f>
        <v>615</v>
      </c>
      <c r="M5">
        <f>_xlfn.XLOOKUP($A5,'2015-2016'!$B$4:$B$23,'2015-2016'!N$4:N$23)</f>
        <v>210</v>
      </c>
      <c r="N5">
        <f>_xlfn.XLOOKUP($A5,'2015-2016'!$B$4:$B$23,'2015-2016'!O$4:O$23)</f>
        <v>5</v>
      </c>
      <c r="O5">
        <f>_xlfn.XLOOKUP($A5,'2015-2016'!$B$4:$B$23,'2015-2016'!P$4:P$23)</f>
        <v>13</v>
      </c>
      <c r="P5">
        <f>_xlfn.XLOOKUP($A5,'2015-2016'!$B$4:$B$23,'2015-2016'!Q$4:Q$23)</f>
        <v>57</v>
      </c>
      <c r="Q5">
        <f>_xlfn.XLOOKUP($A5,'2015-2016'!$B$4:$B$23,'2015-2016'!R$4:R$23)</f>
        <v>14</v>
      </c>
      <c r="R5">
        <f>_xlfn.XLOOKUP($A5,'2015-2016'!$B$4:$B$23,'2015-2016'!S$4:S$23)</f>
        <v>5</v>
      </c>
      <c r="S5">
        <f>_xlfn.XLOOKUP($A5,'2015-2016'!$B$4:$B$23,'2015-2016'!T$4:T$23)</f>
        <v>63</v>
      </c>
      <c r="T5">
        <f>_xlfn.XLOOKUP($A5,'2015-2016'!$B$4:$B$23,'2015-2016'!U$4:U$23)</f>
        <v>1</v>
      </c>
      <c r="U5">
        <f>_xlfn.XLOOKUP($A5,'2015-2016'!$B$4:$B$23,'2015-2016'!V$4:V$23)</f>
        <v>1</v>
      </c>
      <c r="V5">
        <f>_xlfn.XLOOKUP($A5,'2015-2016'!$B$4:$B$23,'2015-2016'!W$4:W$23)</f>
        <v>86</v>
      </c>
      <c r="W5">
        <f>_xlfn.XLOOKUP($A5,'2015-2016'!$B$4:$B$23,'2015-2016'!X$4:X$23)</f>
        <v>940</v>
      </c>
      <c r="X5">
        <f>_xlfn.XLOOKUP($A5,'2015-2016'!$B$4:$B$23,'2015-2016'!Y$4:Y$23)</f>
        <v>729</v>
      </c>
      <c r="Y5">
        <f>_xlfn.XLOOKUP($A5,'2015-2016'!$B$4:$B$23,'2015-2016'!Z$4:Z$23)</f>
        <v>409</v>
      </c>
      <c r="Z5">
        <f>_xlfn.XLOOKUP($A5,'2015-2016'!$B$4:$B$23,'2015-2016'!AA$4:AA$23)</f>
        <v>20488</v>
      </c>
      <c r="AA5">
        <f>_xlfn.XLOOKUP($A5,'2015-2016'!$B$4:$B$23,'2015-2016'!AB$4:AB$23)</f>
        <v>84</v>
      </c>
      <c r="AB5">
        <f>_xlfn.XLOOKUP($A5,'2015-2016'!$B$4:$B$23,'2015-2016'!AC$4:AC$23)</f>
        <v>2895</v>
      </c>
      <c r="AC5">
        <f>_xlfn.XLOOKUP($A5,'2015-2016'!$B$4:$B$23,'2015-2016'!AD$4:AD$23)</f>
        <v>866</v>
      </c>
      <c r="AD5">
        <f>_xlfn.XLOOKUP($A5,'2015-2016'!$B$4:$B$23,'2015-2016'!AE$4:AE$23)</f>
        <v>257</v>
      </c>
      <c r="AE5">
        <f>_xlfn.XLOOKUP($A5,'2015-2016'!$B$4:$B$23,'2015-2016'!AF$4:AF$23)</f>
        <v>208.47</v>
      </c>
      <c r="AF5">
        <f>_xlfn.XLOOKUP($A5,'2015-2016'!$B$4:$B$23,'2015-2016'!AG$4:AG$23)</f>
        <v>67.44</v>
      </c>
      <c r="AG5">
        <f>_xlfn.XLOOKUP($A5,'2015-2016'!$B$4:$B$23,'2015-2016'!AH$4:AH$23)</f>
        <v>22</v>
      </c>
      <c r="AH5">
        <f>_xlfn.XLOOKUP($A5,'2015-2016'!$B$4:$B$23,'2015-2016'!AI$4:AI$23)</f>
        <v>25</v>
      </c>
      <c r="AI5">
        <f>_xlfn.XLOOKUP($A5,'2015-2016'!$B$4:$B$23,'2015-2016'!AJ$4:AJ$23)</f>
        <v>499.35</v>
      </c>
      <c r="AJ5">
        <f>_xlfn.XLOOKUP($A5,'2015-2016'!$B$4:$B$23,'2015-2016'!AK$4:AK$23)</f>
        <v>38</v>
      </c>
      <c r="AK5">
        <f>_xlfn.XLOOKUP($A5,'2015-2016'!$B$4:$B$23,'2015-2016'!AL$4:AL$23)</f>
        <v>13.140789473684212</v>
      </c>
      <c r="AL5">
        <f>_xlfn.XLOOKUP($A5,'2015-2016'!$B$4:$B$23,'2015-2016'!AM$4:AM$23)</f>
        <v>54041</v>
      </c>
      <c r="AM5">
        <f>_xlfn.XLOOKUP($A5,'2015-2016'!$B$4:$B$23,'2015-2016'!AN$4:AN$23)</f>
        <v>0.15</v>
      </c>
      <c r="AN5">
        <f>_xlfn.XLOOKUP($A5,'2015-2016'!$B$4:$B$23,'2015-2016'!AO$4:AO$23)</f>
        <v>1</v>
      </c>
      <c r="AO5">
        <f>_xlfn.XLOOKUP($A5,'2015-2016'!$B$4:$B$23,'2015-2016'!AP$4:AP$23)</f>
        <v>0</v>
      </c>
      <c r="AP5">
        <f>_xlfn.XLOOKUP($A5,'2015-2016'!$B$4:$B$23,'2015-2016'!AQ$4:AQ$23)</f>
        <v>1</v>
      </c>
      <c r="AQ5">
        <f>_xlfn.XLOOKUP($A5,'2015-2016'!$B$4:$B$23,'2015-2016'!AR$4:AR$23)</f>
        <v>0</v>
      </c>
      <c r="AR5">
        <f>_xlfn.XLOOKUP($A5,'2015-2016'!$B$4:$B$23,'2015-2016'!AS$4:AS$23)</f>
        <v>1</v>
      </c>
      <c r="AS5" t="str">
        <f>_xlfn.XLOOKUP($A5,'2015-2016'!$B$4:$B$23,'2015-2016'!AT$4:AT$23)</f>
        <v>15/16</v>
      </c>
    </row>
    <row r="6" spans="1:45" x14ac:dyDescent="0.25">
      <c r="A6">
        <v>5</v>
      </c>
      <c r="B6" t="str">
        <f>_xlfn.XLOOKUP($A6,'2015-2016'!$B$4:$B$23,'2015-2016'!C$4:C$23)</f>
        <v>Manchester United</v>
      </c>
      <c r="C6">
        <f>_xlfn.XLOOKUP($A6,'2015-2016'!$B$4:$B$23,'2015-2016'!D$4:D$23)</f>
        <v>49</v>
      </c>
      <c r="D6">
        <f>_xlfn.XLOOKUP($A6,'2015-2016'!$B$4:$B$23,'2015-2016'!E$4:E$23)</f>
        <v>35</v>
      </c>
      <c r="E6">
        <f>_xlfn.XLOOKUP($A6,'2015-2016'!$B$4:$B$23,'2015-2016'!F$4:F$23)</f>
        <v>14</v>
      </c>
      <c r="F6">
        <f>_xlfn.XLOOKUP($A6,'2015-2016'!$B$4:$B$23,'2015-2016'!G$4:G$23)</f>
        <v>18</v>
      </c>
      <c r="G6">
        <f>_xlfn.XLOOKUP($A6,'2015-2016'!$B$4:$B$23,'2015-2016'!H$4:H$23)</f>
        <v>65</v>
      </c>
      <c r="H6">
        <f>_xlfn.XLOOKUP($A6,'2015-2016'!$B$4:$B$23,'2015-2016'!I$4:I$23)</f>
        <v>1</v>
      </c>
      <c r="I6" t="str">
        <f>_xlfn.XLOOKUP($A6,'2015-2016'!$B$4:$B$23,'2015-2016'!J$4:J$23)</f>
        <v>NA</v>
      </c>
      <c r="J6" t="str">
        <f>_xlfn.XLOOKUP($A6,'2015-2016'!$B$4:$B$23,'2015-2016'!K$4:K$23)</f>
        <v>NA</v>
      </c>
      <c r="K6" t="str">
        <f>_xlfn.XLOOKUP($A6,'2015-2016'!$B$4:$B$23,'2015-2016'!L$4:L$23)</f>
        <v>NA</v>
      </c>
      <c r="L6">
        <f>_xlfn.XLOOKUP($A6,'2015-2016'!$B$4:$B$23,'2015-2016'!M$4:M$23)</f>
        <v>430</v>
      </c>
      <c r="M6">
        <f>_xlfn.XLOOKUP($A6,'2015-2016'!$B$4:$B$23,'2015-2016'!N$4:N$23)</f>
        <v>144</v>
      </c>
      <c r="N6">
        <f>_xlfn.XLOOKUP($A6,'2015-2016'!$B$4:$B$23,'2015-2016'!O$4:O$23)</f>
        <v>3</v>
      </c>
      <c r="O6">
        <f>_xlfn.XLOOKUP($A6,'2015-2016'!$B$4:$B$23,'2015-2016'!P$4:P$23)</f>
        <v>5</v>
      </c>
      <c r="P6">
        <f>_xlfn.XLOOKUP($A6,'2015-2016'!$B$4:$B$23,'2015-2016'!Q$4:Q$23)</f>
        <v>44</v>
      </c>
      <c r="Q6">
        <f>_xlfn.XLOOKUP($A6,'2015-2016'!$B$4:$B$23,'2015-2016'!R$4:R$23)</f>
        <v>5</v>
      </c>
      <c r="R6">
        <f>_xlfn.XLOOKUP($A6,'2015-2016'!$B$4:$B$23,'2015-2016'!S$4:S$23)</f>
        <v>2</v>
      </c>
      <c r="S6">
        <f>_xlfn.XLOOKUP($A6,'2015-2016'!$B$4:$B$23,'2015-2016'!T$4:T$23)</f>
        <v>75</v>
      </c>
      <c r="T6">
        <f>_xlfn.XLOOKUP($A6,'2015-2016'!$B$4:$B$23,'2015-2016'!U$4:U$23)</f>
        <v>2</v>
      </c>
      <c r="U6">
        <f>_xlfn.XLOOKUP($A6,'2015-2016'!$B$4:$B$23,'2015-2016'!V$4:V$23)</f>
        <v>2</v>
      </c>
      <c r="V6">
        <f>_xlfn.XLOOKUP($A6,'2015-2016'!$B$4:$B$23,'2015-2016'!W$4:W$23)</f>
        <v>90</v>
      </c>
      <c r="W6">
        <f>_xlfn.XLOOKUP($A6,'2015-2016'!$B$4:$B$23,'2015-2016'!X$4:X$23)</f>
        <v>755</v>
      </c>
      <c r="X6">
        <f>_xlfn.XLOOKUP($A6,'2015-2016'!$B$4:$B$23,'2015-2016'!Y$4:Y$23)</f>
        <v>760</v>
      </c>
      <c r="Y6">
        <f>_xlfn.XLOOKUP($A6,'2015-2016'!$B$4:$B$23,'2015-2016'!Z$4:Z$23)</f>
        <v>473</v>
      </c>
      <c r="Z6">
        <f>_xlfn.XLOOKUP($A6,'2015-2016'!$B$4:$B$23,'2015-2016'!AA$4:AA$23)</f>
        <v>20070</v>
      </c>
      <c r="AA6">
        <f>_xlfn.XLOOKUP($A6,'2015-2016'!$B$4:$B$23,'2015-2016'!AB$4:AB$23)</f>
        <v>43</v>
      </c>
      <c r="AB6">
        <f>_xlfn.XLOOKUP($A6,'2015-2016'!$B$4:$B$23,'2015-2016'!AC$4:AC$23)</f>
        <v>3221</v>
      </c>
      <c r="AC6">
        <f>_xlfn.XLOOKUP($A6,'2015-2016'!$B$4:$B$23,'2015-2016'!AD$4:AD$23)</f>
        <v>786</v>
      </c>
      <c r="AD6">
        <f>_xlfn.XLOOKUP($A6,'2015-2016'!$B$4:$B$23,'2015-2016'!AE$4:AE$23)</f>
        <v>228</v>
      </c>
      <c r="AE6">
        <f>_xlfn.XLOOKUP($A6,'2015-2016'!$B$4:$B$23,'2015-2016'!AF$4:AF$23)</f>
        <v>156</v>
      </c>
      <c r="AF6">
        <f>_xlfn.XLOOKUP($A6,'2015-2016'!$B$4:$B$23,'2015-2016'!AG$4:AG$23)</f>
        <v>100.67</v>
      </c>
      <c r="AG6">
        <f>_xlfn.XLOOKUP($A6,'2015-2016'!$B$4:$B$23,'2015-2016'!AH$4:AH$23)</f>
        <v>22</v>
      </c>
      <c r="AH6">
        <f>_xlfn.XLOOKUP($A6,'2015-2016'!$B$4:$B$23,'2015-2016'!AI$4:AI$23)</f>
        <v>20</v>
      </c>
      <c r="AI6">
        <f>_xlfn.XLOOKUP($A6,'2015-2016'!$B$4:$B$23,'2015-2016'!AJ$4:AJ$23)</f>
        <v>439.85</v>
      </c>
      <c r="AJ6">
        <f>_xlfn.XLOOKUP($A6,'2015-2016'!$B$4:$B$23,'2015-2016'!AK$4:AK$23)</f>
        <v>44</v>
      </c>
      <c r="AK6">
        <f>_xlfn.XLOOKUP($A6,'2015-2016'!$B$4:$B$23,'2015-2016'!AL$4:AL$23)</f>
        <v>9.9965909090909104</v>
      </c>
      <c r="AL6">
        <f>_xlfn.XLOOKUP($A6,'2015-2016'!$B$4:$B$23,'2015-2016'!AM$4:AM$23)</f>
        <v>75286</v>
      </c>
      <c r="AM6">
        <f>_xlfn.XLOOKUP($A6,'2015-2016'!$B$4:$B$23,'2015-2016'!AN$4:AN$23)</f>
        <v>0.3</v>
      </c>
      <c r="AN6">
        <f>_xlfn.XLOOKUP($A6,'2015-2016'!$B$4:$B$23,'2015-2016'!AO$4:AO$23)</f>
        <v>1</v>
      </c>
      <c r="AO6">
        <f>_xlfn.XLOOKUP($A6,'2015-2016'!$B$4:$B$23,'2015-2016'!AP$4:AP$23)</f>
        <v>0</v>
      </c>
      <c r="AP6">
        <f>_xlfn.XLOOKUP($A6,'2015-2016'!$B$4:$B$23,'2015-2016'!AQ$4:AQ$23)</f>
        <v>0</v>
      </c>
      <c r="AQ6">
        <f>_xlfn.XLOOKUP($A6,'2015-2016'!$B$4:$B$23,'2015-2016'!AR$4:AR$23)</f>
        <v>0</v>
      </c>
      <c r="AR6">
        <f>_xlfn.XLOOKUP($A6,'2015-2016'!$B$4:$B$23,'2015-2016'!AS$4:AS$23)</f>
        <v>1</v>
      </c>
      <c r="AS6" t="str">
        <f>_xlfn.XLOOKUP($A6,'2015-2016'!$B$4:$B$23,'2015-2016'!AT$4:AT$23)</f>
        <v>15/16</v>
      </c>
    </row>
    <row r="7" spans="1:45" x14ac:dyDescent="0.25">
      <c r="A7">
        <v>6</v>
      </c>
      <c r="B7" t="str">
        <f>_xlfn.XLOOKUP($A7,'2015-2016'!$B$4:$B$23,'2015-2016'!C$4:C$23)</f>
        <v>Southampton</v>
      </c>
      <c r="C7">
        <f>_xlfn.XLOOKUP($A7,'2015-2016'!$B$4:$B$23,'2015-2016'!D$4:D$23)</f>
        <v>59</v>
      </c>
      <c r="D7">
        <f>_xlfn.XLOOKUP($A7,'2015-2016'!$B$4:$B$23,'2015-2016'!E$4:E$23)</f>
        <v>41</v>
      </c>
      <c r="E7">
        <f>_xlfn.XLOOKUP($A7,'2015-2016'!$B$4:$B$23,'2015-2016'!F$4:F$23)</f>
        <v>18</v>
      </c>
      <c r="F7">
        <f>_xlfn.XLOOKUP($A7,'2015-2016'!$B$4:$B$23,'2015-2016'!G$4:G$23)</f>
        <v>12</v>
      </c>
      <c r="G7">
        <f>_xlfn.XLOOKUP($A7,'2015-2016'!$B$4:$B$23,'2015-2016'!H$4:H$23)</f>
        <v>57</v>
      </c>
      <c r="H7">
        <f>_xlfn.XLOOKUP($A7,'2015-2016'!$B$4:$B$23,'2015-2016'!I$4:I$23)</f>
        <v>6</v>
      </c>
      <c r="I7" t="str">
        <f>_xlfn.XLOOKUP($A7,'2015-2016'!$B$4:$B$23,'2015-2016'!J$4:J$23)</f>
        <v>NA</v>
      </c>
      <c r="J7" t="str">
        <f>_xlfn.XLOOKUP($A7,'2015-2016'!$B$4:$B$23,'2015-2016'!K$4:K$23)</f>
        <v>NA</v>
      </c>
      <c r="K7" t="str">
        <f>_xlfn.XLOOKUP($A7,'2015-2016'!$B$4:$B$23,'2015-2016'!L$4:L$23)</f>
        <v>NA</v>
      </c>
      <c r="L7">
        <f>_xlfn.XLOOKUP($A7,'2015-2016'!$B$4:$B$23,'2015-2016'!M$4:M$23)</f>
        <v>519</v>
      </c>
      <c r="M7">
        <f>_xlfn.XLOOKUP($A7,'2015-2016'!$B$4:$B$23,'2015-2016'!N$4:N$23)</f>
        <v>166</v>
      </c>
      <c r="N7">
        <f>_xlfn.XLOOKUP($A7,'2015-2016'!$B$4:$B$23,'2015-2016'!O$4:O$23)</f>
        <v>3</v>
      </c>
      <c r="O7">
        <f>_xlfn.XLOOKUP($A7,'2015-2016'!$B$4:$B$23,'2015-2016'!P$4:P$23)</f>
        <v>15</v>
      </c>
      <c r="P7">
        <f>_xlfn.XLOOKUP($A7,'2015-2016'!$B$4:$B$23,'2015-2016'!Q$4:Q$23)</f>
        <v>53</v>
      </c>
      <c r="Q7">
        <f>_xlfn.XLOOKUP($A7,'2015-2016'!$B$4:$B$23,'2015-2016'!R$4:R$23)</f>
        <v>6</v>
      </c>
      <c r="R7">
        <f>_xlfn.XLOOKUP($A7,'2015-2016'!$B$4:$B$23,'2015-2016'!S$4:S$23)</f>
        <v>3</v>
      </c>
      <c r="S7">
        <f>_xlfn.XLOOKUP($A7,'2015-2016'!$B$4:$B$23,'2015-2016'!T$4:T$23)</f>
        <v>98</v>
      </c>
      <c r="T7">
        <f>_xlfn.XLOOKUP($A7,'2015-2016'!$B$4:$B$23,'2015-2016'!U$4:U$23)</f>
        <v>0</v>
      </c>
      <c r="U7">
        <f>_xlfn.XLOOKUP($A7,'2015-2016'!$B$4:$B$23,'2015-2016'!V$4:V$23)</f>
        <v>1</v>
      </c>
      <c r="V7">
        <f>_xlfn.XLOOKUP($A7,'2015-2016'!$B$4:$B$23,'2015-2016'!W$4:W$23)</f>
        <v>94</v>
      </c>
      <c r="W7">
        <f>_xlfn.XLOOKUP($A7,'2015-2016'!$B$4:$B$23,'2015-2016'!X$4:X$23)</f>
        <v>1101</v>
      </c>
      <c r="X7">
        <f>_xlfn.XLOOKUP($A7,'2015-2016'!$B$4:$B$23,'2015-2016'!Y$4:Y$23)</f>
        <v>714</v>
      </c>
      <c r="Y7">
        <f>_xlfn.XLOOKUP($A7,'2015-2016'!$B$4:$B$23,'2015-2016'!Z$4:Z$23)</f>
        <v>417</v>
      </c>
      <c r="Z7">
        <f>_xlfn.XLOOKUP($A7,'2015-2016'!$B$4:$B$23,'2015-2016'!AA$4:AA$23)</f>
        <v>15913</v>
      </c>
      <c r="AA7">
        <f>_xlfn.XLOOKUP($A7,'2015-2016'!$B$4:$B$23,'2015-2016'!AB$4:AB$23)</f>
        <v>46</v>
      </c>
      <c r="AB7">
        <f>_xlfn.XLOOKUP($A7,'2015-2016'!$B$4:$B$23,'2015-2016'!AC$4:AC$23)</f>
        <v>2358</v>
      </c>
      <c r="AC7">
        <f>_xlfn.XLOOKUP($A7,'2015-2016'!$B$4:$B$23,'2015-2016'!AD$4:AD$23)</f>
        <v>956</v>
      </c>
      <c r="AD7">
        <f>_xlfn.XLOOKUP($A7,'2015-2016'!$B$4:$B$23,'2015-2016'!AE$4:AE$23)</f>
        <v>220</v>
      </c>
      <c r="AE7">
        <f>_xlfn.XLOOKUP($A7,'2015-2016'!$B$4:$B$23,'2015-2016'!AF$4:AF$23)</f>
        <v>60.1</v>
      </c>
      <c r="AF7">
        <f>_xlfn.XLOOKUP($A7,'2015-2016'!$B$4:$B$23,'2015-2016'!AG$4:AG$23)</f>
        <v>52.7</v>
      </c>
      <c r="AG7">
        <f>_xlfn.XLOOKUP($A7,'2015-2016'!$B$4:$B$23,'2015-2016'!AH$4:AH$23)</f>
        <v>16</v>
      </c>
      <c r="AH7">
        <f>_xlfn.XLOOKUP($A7,'2015-2016'!$B$4:$B$23,'2015-2016'!AI$4:AI$23)</f>
        <v>17</v>
      </c>
      <c r="AI7">
        <f>_xlfn.XLOOKUP($A7,'2015-2016'!$B$4:$B$23,'2015-2016'!AJ$4:AJ$23)</f>
        <v>225.5</v>
      </c>
      <c r="AJ7">
        <f>_xlfn.XLOOKUP($A7,'2015-2016'!$B$4:$B$23,'2015-2016'!AK$4:AK$23)</f>
        <v>35</v>
      </c>
      <c r="AK7">
        <f>_xlfn.XLOOKUP($A7,'2015-2016'!$B$4:$B$23,'2015-2016'!AL$4:AL$23)</f>
        <v>6.4428571428571431</v>
      </c>
      <c r="AL7">
        <f>_xlfn.XLOOKUP($A7,'2015-2016'!$B$4:$B$23,'2015-2016'!AM$4:AM$23)</f>
        <v>30751</v>
      </c>
      <c r="AM7">
        <f>_xlfn.XLOOKUP($A7,'2015-2016'!$B$4:$B$23,'2015-2016'!AN$4:AN$23)</f>
        <v>0.13</v>
      </c>
      <c r="AN7">
        <f>_xlfn.XLOOKUP($A7,'2015-2016'!$B$4:$B$23,'2015-2016'!AO$4:AO$23)</f>
        <v>1</v>
      </c>
      <c r="AO7">
        <f>_xlfn.XLOOKUP($A7,'2015-2016'!$B$4:$B$23,'2015-2016'!AP$4:AP$23)</f>
        <v>0</v>
      </c>
      <c r="AP7">
        <f>_xlfn.XLOOKUP($A7,'2015-2016'!$B$4:$B$23,'2015-2016'!AQ$4:AQ$23)</f>
        <v>0</v>
      </c>
      <c r="AQ7">
        <f>_xlfn.XLOOKUP($A7,'2015-2016'!$B$4:$B$23,'2015-2016'!AR$4:AR$23)</f>
        <v>0</v>
      </c>
      <c r="AR7">
        <f>_xlfn.XLOOKUP($A7,'2015-2016'!$B$4:$B$23,'2015-2016'!AS$4:AS$23)</f>
        <v>0</v>
      </c>
      <c r="AS7" t="str">
        <f>_xlfn.XLOOKUP($A7,'2015-2016'!$B$4:$B$23,'2015-2016'!AT$4:AT$23)</f>
        <v>15/16</v>
      </c>
    </row>
    <row r="8" spans="1:45" x14ac:dyDescent="0.25">
      <c r="A8">
        <v>7</v>
      </c>
      <c r="B8" t="str">
        <f>_xlfn.XLOOKUP($A8,'2015-2016'!$B$4:$B$23,'2015-2016'!C$4:C$23)</f>
        <v>West Ham United</v>
      </c>
      <c r="C8">
        <f>_xlfn.XLOOKUP($A8,'2015-2016'!$B$4:$B$23,'2015-2016'!D$4:D$23)</f>
        <v>65</v>
      </c>
      <c r="D8">
        <f>_xlfn.XLOOKUP($A8,'2015-2016'!$B$4:$B$23,'2015-2016'!E$4:E$23)</f>
        <v>51</v>
      </c>
      <c r="E8">
        <f>_xlfn.XLOOKUP($A8,'2015-2016'!$B$4:$B$23,'2015-2016'!F$4:F$23)</f>
        <v>14</v>
      </c>
      <c r="F8">
        <f>_xlfn.XLOOKUP($A8,'2015-2016'!$B$4:$B$23,'2015-2016'!G$4:G$23)</f>
        <v>11</v>
      </c>
      <c r="G8">
        <f>_xlfn.XLOOKUP($A8,'2015-2016'!$B$4:$B$23,'2015-2016'!H$4:H$23)</f>
        <v>58</v>
      </c>
      <c r="H8">
        <f>_xlfn.XLOOKUP($A8,'2015-2016'!$B$4:$B$23,'2015-2016'!I$4:I$23)</f>
        <v>5</v>
      </c>
      <c r="I8" t="str">
        <f>_xlfn.XLOOKUP($A8,'2015-2016'!$B$4:$B$23,'2015-2016'!J$4:J$23)</f>
        <v>NA</v>
      </c>
      <c r="J8" t="str">
        <f>_xlfn.XLOOKUP($A8,'2015-2016'!$B$4:$B$23,'2015-2016'!K$4:K$23)</f>
        <v>NA</v>
      </c>
      <c r="K8" t="str">
        <f>_xlfn.XLOOKUP($A8,'2015-2016'!$B$4:$B$23,'2015-2016'!L$4:L$23)</f>
        <v>NA</v>
      </c>
      <c r="L8">
        <f>_xlfn.XLOOKUP($A8,'2015-2016'!$B$4:$B$23,'2015-2016'!M$4:M$23)</f>
        <v>558</v>
      </c>
      <c r="M8">
        <f>_xlfn.XLOOKUP($A8,'2015-2016'!$B$4:$B$23,'2015-2016'!N$4:N$23)</f>
        <v>185</v>
      </c>
      <c r="N8">
        <f>_xlfn.XLOOKUP($A8,'2015-2016'!$B$4:$B$23,'2015-2016'!O$4:O$23)</f>
        <v>4</v>
      </c>
      <c r="O8">
        <f>_xlfn.XLOOKUP($A8,'2015-2016'!$B$4:$B$23,'2015-2016'!P$4:P$23)</f>
        <v>15</v>
      </c>
      <c r="P8">
        <f>_xlfn.XLOOKUP($A8,'2015-2016'!$B$4:$B$23,'2015-2016'!Q$4:Q$23)</f>
        <v>55</v>
      </c>
      <c r="Q8">
        <f>_xlfn.XLOOKUP($A8,'2015-2016'!$B$4:$B$23,'2015-2016'!R$4:R$23)</f>
        <v>10</v>
      </c>
      <c r="R8">
        <f>_xlfn.XLOOKUP($A8,'2015-2016'!$B$4:$B$23,'2015-2016'!S$4:S$23)</f>
        <v>2</v>
      </c>
      <c r="S8">
        <f>_xlfn.XLOOKUP($A8,'2015-2016'!$B$4:$B$23,'2015-2016'!T$4:T$23)</f>
        <v>82</v>
      </c>
      <c r="T8">
        <f>_xlfn.XLOOKUP($A8,'2015-2016'!$B$4:$B$23,'2015-2016'!U$4:U$23)</f>
        <v>2</v>
      </c>
      <c r="U8">
        <f>_xlfn.XLOOKUP($A8,'2015-2016'!$B$4:$B$23,'2015-2016'!V$4:V$23)</f>
        <v>8</v>
      </c>
      <c r="V8">
        <f>_xlfn.XLOOKUP($A8,'2015-2016'!$B$4:$B$23,'2015-2016'!W$4:W$23)</f>
        <v>111</v>
      </c>
      <c r="W8">
        <f>_xlfn.XLOOKUP($A8,'2015-2016'!$B$4:$B$23,'2015-2016'!X$4:X$23)</f>
        <v>1003</v>
      </c>
      <c r="X8">
        <f>_xlfn.XLOOKUP($A8,'2015-2016'!$B$4:$B$23,'2015-2016'!Y$4:Y$23)</f>
        <v>711</v>
      </c>
      <c r="Y8">
        <f>_xlfn.XLOOKUP($A8,'2015-2016'!$B$4:$B$23,'2015-2016'!Z$4:Z$23)</f>
        <v>381</v>
      </c>
      <c r="Z8">
        <f>_xlfn.XLOOKUP($A8,'2015-2016'!$B$4:$B$23,'2015-2016'!AA$4:AA$23)</f>
        <v>15031</v>
      </c>
      <c r="AA8">
        <f>_xlfn.XLOOKUP($A8,'2015-2016'!$B$4:$B$23,'2015-2016'!AB$4:AB$23)</f>
        <v>32</v>
      </c>
      <c r="AB8">
        <f>_xlfn.XLOOKUP($A8,'2015-2016'!$B$4:$B$23,'2015-2016'!AC$4:AC$23)</f>
        <v>2236</v>
      </c>
      <c r="AC8">
        <f>_xlfn.XLOOKUP($A8,'2015-2016'!$B$4:$B$23,'2015-2016'!AD$4:AD$23)</f>
        <v>805</v>
      </c>
      <c r="AD8">
        <f>_xlfn.XLOOKUP($A8,'2015-2016'!$B$4:$B$23,'2015-2016'!AE$4:AE$23)</f>
        <v>224</v>
      </c>
      <c r="AE8">
        <f>_xlfn.XLOOKUP($A8,'2015-2016'!$B$4:$B$23,'2015-2016'!AF$4:AF$23)</f>
        <v>52.7</v>
      </c>
      <c r="AF8">
        <f>_xlfn.XLOOKUP($A8,'2015-2016'!$B$4:$B$23,'2015-2016'!AG$4:AG$23)</f>
        <v>18.52</v>
      </c>
      <c r="AG8">
        <f>_xlfn.XLOOKUP($A8,'2015-2016'!$B$4:$B$23,'2015-2016'!AH$4:AH$23)</f>
        <v>25</v>
      </c>
      <c r="AH8">
        <f>_xlfn.XLOOKUP($A8,'2015-2016'!$B$4:$B$23,'2015-2016'!AI$4:AI$23)</f>
        <v>26</v>
      </c>
      <c r="AI8">
        <f>_xlfn.XLOOKUP($A8,'2015-2016'!$B$4:$B$23,'2015-2016'!AJ$4:AJ$23)</f>
        <v>201.33</v>
      </c>
      <c r="AJ8">
        <f>_xlfn.XLOOKUP($A8,'2015-2016'!$B$4:$B$23,'2015-2016'!AK$4:AK$23)</f>
        <v>50</v>
      </c>
      <c r="AK8">
        <f>_xlfn.XLOOKUP($A8,'2015-2016'!$B$4:$B$23,'2015-2016'!AL$4:AL$23)</f>
        <v>4.0266000000000002</v>
      </c>
      <c r="AL8">
        <f>_xlfn.XLOOKUP($A8,'2015-2016'!$B$4:$B$23,'2015-2016'!AM$4:AM$23)</f>
        <v>34910</v>
      </c>
      <c r="AM8">
        <f>_xlfn.XLOOKUP($A8,'2015-2016'!$B$4:$B$23,'2015-2016'!AN$4:AN$23)</f>
        <v>0.02</v>
      </c>
      <c r="AN8">
        <f>_xlfn.XLOOKUP($A8,'2015-2016'!$B$4:$B$23,'2015-2016'!AO$4:AO$23)</f>
        <v>1</v>
      </c>
      <c r="AO8">
        <f>_xlfn.XLOOKUP($A8,'2015-2016'!$B$4:$B$23,'2015-2016'!AP$4:AP$23)</f>
        <v>0</v>
      </c>
      <c r="AP8">
        <f>_xlfn.XLOOKUP($A8,'2015-2016'!$B$4:$B$23,'2015-2016'!AQ$4:AQ$23)</f>
        <v>0</v>
      </c>
      <c r="AQ8">
        <f>_xlfn.XLOOKUP($A8,'2015-2016'!$B$4:$B$23,'2015-2016'!AR$4:AR$23)</f>
        <v>0</v>
      </c>
      <c r="AR8">
        <f>_xlfn.XLOOKUP($A8,'2015-2016'!$B$4:$B$23,'2015-2016'!AS$4:AS$23)</f>
        <v>0</v>
      </c>
      <c r="AS8" t="str">
        <f>_xlfn.XLOOKUP($A8,'2015-2016'!$B$4:$B$23,'2015-2016'!AT$4:AT$23)</f>
        <v>15/16</v>
      </c>
    </row>
    <row r="9" spans="1:45" x14ac:dyDescent="0.25">
      <c r="A9">
        <v>8</v>
      </c>
      <c r="B9" t="str">
        <f>_xlfn.XLOOKUP($A9,'2015-2016'!$B$4:$B$23,'2015-2016'!C$4:C$23)</f>
        <v>Liverpool</v>
      </c>
      <c r="C9">
        <f>_xlfn.XLOOKUP($A9,'2015-2016'!$B$4:$B$23,'2015-2016'!D$4:D$23)</f>
        <v>63</v>
      </c>
      <c r="D9">
        <f>_xlfn.XLOOKUP($A9,'2015-2016'!$B$4:$B$23,'2015-2016'!E$4:E$23)</f>
        <v>50</v>
      </c>
      <c r="E9">
        <f>_xlfn.XLOOKUP($A9,'2015-2016'!$B$4:$B$23,'2015-2016'!F$4:F$23)</f>
        <v>13</v>
      </c>
      <c r="F9">
        <f>_xlfn.XLOOKUP($A9,'2015-2016'!$B$4:$B$23,'2015-2016'!G$4:G$23)</f>
        <v>11</v>
      </c>
      <c r="G9">
        <f>_xlfn.XLOOKUP($A9,'2015-2016'!$B$4:$B$23,'2015-2016'!H$4:H$23)</f>
        <v>61</v>
      </c>
      <c r="H9">
        <f>_xlfn.XLOOKUP($A9,'2015-2016'!$B$4:$B$23,'2015-2016'!I$4:I$23)</f>
        <v>3</v>
      </c>
      <c r="I9" t="str">
        <f>_xlfn.XLOOKUP($A9,'2015-2016'!$B$4:$B$23,'2015-2016'!J$4:J$23)</f>
        <v>NA</v>
      </c>
      <c r="J9" t="str">
        <f>_xlfn.XLOOKUP($A9,'2015-2016'!$B$4:$B$23,'2015-2016'!K$4:K$23)</f>
        <v>NA</v>
      </c>
      <c r="K9" t="str">
        <f>_xlfn.XLOOKUP($A9,'2015-2016'!$B$4:$B$23,'2015-2016'!L$4:L$23)</f>
        <v>NA</v>
      </c>
      <c r="L9">
        <f>_xlfn.XLOOKUP($A9,'2015-2016'!$B$4:$B$23,'2015-2016'!M$4:M$23)</f>
        <v>629</v>
      </c>
      <c r="M9">
        <f>_xlfn.XLOOKUP($A9,'2015-2016'!$B$4:$B$23,'2015-2016'!N$4:N$23)</f>
        <v>202</v>
      </c>
      <c r="N9">
        <f>_xlfn.XLOOKUP($A9,'2015-2016'!$B$4:$B$23,'2015-2016'!O$4:O$23)</f>
        <v>2</v>
      </c>
      <c r="O9">
        <f>_xlfn.XLOOKUP($A9,'2015-2016'!$B$4:$B$23,'2015-2016'!P$4:P$23)</f>
        <v>12</v>
      </c>
      <c r="P9">
        <f>_xlfn.XLOOKUP($A9,'2015-2016'!$B$4:$B$23,'2015-2016'!Q$4:Q$23)</f>
        <v>48</v>
      </c>
      <c r="Q9">
        <f>_xlfn.XLOOKUP($A9,'2015-2016'!$B$4:$B$23,'2015-2016'!R$4:R$23)</f>
        <v>15</v>
      </c>
      <c r="R9">
        <f>_xlfn.XLOOKUP($A9,'2015-2016'!$B$4:$B$23,'2015-2016'!S$4:S$23)</f>
        <v>1</v>
      </c>
      <c r="S9">
        <f>_xlfn.XLOOKUP($A9,'2015-2016'!$B$4:$B$23,'2015-2016'!T$4:T$23)</f>
        <v>91</v>
      </c>
      <c r="T9">
        <f>_xlfn.XLOOKUP($A9,'2015-2016'!$B$4:$B$23,'2015-2016'!U$4:U$23)</f>
        <v>1</v>
      </c>
      <c r="U9">
        <f>_xlfn.XLOOKUP($A9,'2015-2016'!$B$4:$B$23,'2015-2016'!V$4:V$23)</f>
        <v>3</v>
      </c>
      <c r="V9">
        <f>_xlfn.XLOOKUP($A9,'2015-2016'!$B$4:$B$23,'2015-2016'!W$4:W$23)</f>
        <v>81</v>
      </c>
      <c r="W9">
        <f>_xlfn.XLOOKUP($A9,'2015-2016'!$B$4:$B$23,'2015-2016'!X$4:X$23)</f>
        <v>871</v>
      </c>
      <c r="X9">
        <f>_xlfn.XLOOKUP($A9,'2015-2016'!$B$4:$B$23,'2015-2016'!Y$4:Y$23)</f>
        <v>871</v>
      </c>
      <c r="Y9">
        <f>_xlfn.XLOOKUP($A9,'2015-2016'!$B$4:$B$23,'2015-2016'!Z$4:Z$23)</f>
        <v>410</v>
      </c>
      <c r="Z9">
        <f>_xlfn.XLOOKUP($A9,'2015-2016'!$B$4:$B$23,'2015-2016'!AA$4:AA$23)</f>
        <v>19733</v>
      </c>
      <c r="AA9">
        <f>_xlfn.XLOOKUP($A9,'2015-2016'!$B$4:$B$23,'2015-2016'!AB$4:AB$23)</f>
        <v>75</v>
      </c>
      <c r="AB9">
        <f>_xlfn.XLOOKUP($A9,'2015-2016'!$B$4:$B$23,'2015-2016'!AC$4:AC$23)</f>
        <v>2846</v>
      </c>
      <c r="AC9">
        <f>_xlfn.XLOOKUP($A9,'2015-2016'!$B$4:$B$23,'2015-2016'!AD$4:AD$23)</f>
        <v>780</v>
      </c>
      <c r="AD9">
        <f>_xlfn.XLOOKUP($A9,'2015-2016'!$B$4:$B$23,'2015-2016'!AE$4:AE$23)</f>
        <v>265</v>
      </c>
      <c r="AE9">
        <f>_xlfn.XLOOKUP($A9,'2015-2016'!$B$4:$B$23,'2015-2016'!AF$4:AF$23)</f>
        <v>126.5</v>
      </c>
      <c r="AF9">
        <f>_xlfn.XLOOKUP($A9,'2015-2016'!$B$4:$B$23,'2015-2016'!AG$4:AG$23)</f>
        <v>90.55</v>
      </c>
      <c r="AG9">
        <f>_xlfn.XLOOKUP($A9,'2015-2016'!$B$4:$B$23,'2015-2016'!AH$4:AH$23)</f>
        <v>24</v>
      </c>
      <c r="AH9">
        <f>_xlfn.XLOOKUP($A9,'2015-2016'!$B$4:$B$23,'2015-2016'!AI$4:AI$23)</f>
        <v>24</v>
      </c>
      <c r="AI9">
        <f>_xlfn.XLOOKUP($A9,'2015-2016'!$B$4:$B$23,'2015-2016'!AJ$4:AJ$23)</f>
        <v>375.25</v>
      </c>
      <c r="AJ9">
        <f>_xlfn.XLOOKUP($A9,'2015-2016'!$B$4:$B$23,'2015-2016'!AK$4:AK$23)</f>
        <v>44</v>
      </c>
      <c r="AK9">
        <f>_xlfn.XLOOKUP($A9,'2015-2016'!$B$4:$B$23,'2015-2016'!AL$4:AL$23)</f>
        <v>8.5284090909090917</v>
      </c>
      <c r="AL9">
        <f>_xlfn.XLOOKUP($A9,'2015-2016'!$B$4:$B$23,'2015-2016'!AM$4:AM$23)</f>
        <v>43910</v>
      </c>
      <c r="AM9">
        <f>_xlfn.XLOOKUP($A9,'2015-2016'!$B$4:$B$23,'2015-2016'!AN$4:AN$23)</f>
        <v>0.09</v>
      </c>
      <c r="AN9">
        <f>_xlfn.XLOOKUP($A9,'2015-2016'!$B$4:$B$23,'2015-2016'!AO$4:AO$23)</f>
        <v>1</v>
      </c>
      <c r="AO9">
        <f>_xlfn.XLOOKUP($A9,'2015-2016'!$B$4:$B$23,'2015-2016'!AP$4:AP$23)</f>
        <v>0</v>
      </c>
      <c r="AP9">
        <f>_xlfn.XLOOKUP($A9,'2015-2016'!$B$4:$B$23,'2015-2016'!AQ$4:AQ$23)</f>
        <v>0</v>
      </c>
      <c r="AQ9">
        <f>_xlfn.XLOOKUP($A9,'2015-2016'!$B$4:$B$23,'2015-2016'!AR$4:AR$23)</f>
        <v>0</v>
      </c>
      <c r="AR9">
        <f>_xlfn.XLOOKUP($A9,'2015-2016'!$B$4:$B$23,'2015-2016'!AS$4:AS$23)</f>
        <v>1</v>
      </c>
      <c r="AS9" t="str">
        <f>_xlfn.XLOOKUP($A9,'2015-2016'!$B$4:$B$23,'2015-2016'!AT$4:AT$23)</f>
        <v>15/16</v>
      </c>
    </row>
    <row r="10" spans="1:45" x14ac:dyDescent="0.25">
      <c r="A10">
        <v>9</v>
      </c>
      <c r="B10" t="str">
        <f>_xlfn.XLOOKUP($A10,'2015-2016'!$B$4:$B$23,'2015-2016'!C$4:C$23)</f>
        <v>Stoke City</v>
      </c>
      <c r="C10">
        <f>_xlfn.XLOOKUP($A10,'2015-2016'!$B$4:$B$23,'2015-2016'!D$4:D$23)</f>
        <v>41</v>
      </c>
      <c r="D10">
        <f>_xlfn.XLOOKUP($A10,'2015-2016'!$B$4:$B$23,'2015-2016'!E$4:E$23)</f>
        <v>55</v>
      </c>
      <c r="E10">
        <f>_xlfn.XLOOKUP($A10,'2015-2016'!$B$4:$B$23,'2015-2016'!F$4:F$23)</f>
        <v>-14</v>
      </c>
      <c r="F10">
        <f>_xlfn.XLOOKUP($A10,'2015-2016'!$B$4:$B$23,'2015-2016'!G$4:G$23)</f>
        <v>10</v>
      </c>
      <c r="G10">
        <f>_xlfn.XLOOKUP($A10,'2015-2016'!$B$4:$B$23,'2015-2016'!H$4:H$23)</f>
        <v>51</v>
      </c>
      <c r="H10">
        <f>_xlfn.XLOOKUP($A10,'2015-2016'!$B$4:$B$23,'2015-2016'!I$4:I$23)</f>
        <v>4</v>
      </c>
      <c r="I10" t="str">
        <f>_xlfn.XLOOKUP($A10,'2015-2016'!$B$4:$B$23,'2015-2016'!J$4:J$23)</f>
        <v>NA</v>
      </c>
      <c r="J10" t="str">
        <f>_xlfn.XLOOKUP($A10,'2015-2016'!$B$4:$B$23,'2015-2016'!K$4:K$23)</f>
        <v>NA</v>
      </c>
      <c r="K10" t="str">
        <f>_xlfn.XLOOKUP($A10,'2015-2016'!$B$4:$B$23,'2015-2016'!L$4:L$23)</f>
        <v>NA</v>
      </c>
      <c r="L10">
        <f>_xlfn.XLOOKUP($A10,'2015-2016'!$B$4:$B$23,'2015-2016'!M$4:M$23)</f>
        <v>419</v>
      </c>
      <c r="M10">
        <f>_xlfn.XLOOKUP($A10,'2015-2016'!$B$4:$B$23,'2015-2016'!N$4:N$23)</f>
        <v>128</v>
      </c>
      <c r="N10">
        <f>_xlfn.XLOOKUP($A10,'2015-2016'!$B$4:$B$23,'2015-2016'!O$4:O$23)</f>
        <v>5</v>
      </c>
      <c r="O10">
        <f>_xlfn.XLOOKUP($A10,'2015-2016'!$B$4:$B$23,'2015-2016'!P$4:P$23)</f>
        <v>9</v>
      </c>
      <c r="P10">
        <f>_xlfn.XLOOKUP($A10,'2015-2016'!$B$4:$B$23,'2015-2016'!Q$4:Q$23)</f>
        <v>33</v>
      </c>
      <c r="Q10">
        <f>_xlfn.XLOOKUP($A10,'2015-2016'!$B$4:$B$23,'2015-2016'!R$4:R$23)</f>
        <v>8</v>
      </c>
      <c r="R10">
        <f>_xlfn.XLOOKUP($A10,'2015-2016'!$B$4:$B$23,'2015-2016'!S$4:S$23)</f>
        <v>0</v>
      </c>
      <c r="S10">
        <f>_xlfn.XLOOKUP($A10,'2015-2016'!$B$4:$B$23,'2015-2016'!T$4:T$23)</f>
        <v>103</v>
      </c>
      <c r="T10">
        <f>_xlfn.XLOOKUP($A10,'2015-2016'!$B$4:$B$23,'2015-2016'!U$4:U$23)</f>
        <v>0</v>
      </c>
      <c r="U10">
        <f>_xlfn.XLOOKUP($A10,'2015-2016'!$B$4:$B$23,'2015-2016'!V$4:V$23)</f>
        <v>5</v>
      </c>
      <c r="V10">
        <f>_xlfn.XLOOKUP($A10,'2015-2016'!$B$4:$B$23,'2015-2016'!W$4:W$23)</f>
        <v>121</v>
      </c>
      <c r="W10">
        <f>_xlfn.XLOOKUP($A10,'2015-2016'!$B$4:$B$23,'2015-2016'!X$4:X$23)</f>
        <v>826</v>
      </c>
      <c r="X10">
        <f>_xlfn.XLOOKUP($A10,'2015-2016'!$B$4:$B$23,'2015-2016'!Y$4:Y$23)</f>
        <v>710</v>
      </c>
      <c r="Y10">
        <f>_xlfn.XLOOKUP($A10,'2015-2016'!$B$4:$B$23,'2015-2016'!Z$4:Z$23)</f>
        <v>420</v>
      </c>
      <c r="Z10">
        <f>_xlfn.XLOOKUP($A10,'2015-2016'!$B$4:$B$23,'2015-2016'!AA$4:AA$23)</f>
        <v>16342</v>
      </c>
      <c r="AA10">
        <f>_xlfn.XLOOKUP($A10,'2015-2016'!$B$4:$B$23,'2015-2016'!AB$4:AB$23)</f>
        <v>60</v>
      </c>
      <c r="AB10">
        <f>_xlfn.XLOOKUP($A10,'2015-2016'!$B$4:$B$23,'2015-2016'!AC$4:AC$23)</f>
        <v>2440</v>
      </c>
      <c r="AC10">
        <f>_xlfn.XLOOKUP($A10,'2015-2016'!$B$4:$B$23,'2015-2016'!AD$4:AD$23)</f>
        <v>683</v>
      </c>
      <c r="AD10">
        <f>_xlfn.XLOOKUP($A10,'2015-2016'!$B$4:$B$23,'2015-2016'!AE$4:AE$23)</f>
        <v>153</v>
      </c>
      <c r="AE10">
        <f>_xlfn.XLOOKUP($A10,'2015-2016'!$B$4:$B$23,'2015-2016'!AF$4:AF$23)</f>
        <v>53.65</v>
      </c>
      <c r="AF10">
        <f>_xlfn.XLOOKUP($A10,'2015-2016'!$B$4:$B$23,'2015-2016'!AG$4:AG$23)</f>
        <v>23.2</v>
      </c>
      <c r="AG10">
        <f>_xlfn.XLOOKUP($A10,'2015-2016'!$B$4:$B$23,'2015-2016'!AH$4:AH$23)</f>
        <v>13</v>
      </c>
      <c r="AH10">
        <f>_xlfn.XLOOKUP($A10,'2015-2016'!$B$4:$B$23,'2015-2016'!AI$4:AI$23)</f>
        <v>14</v>
      </c>
      <c r="AI10">
        <f>_xlfn.XLOOKUP($A10,'2015-2016'!$B$4:$B$23,'2015-2016'!AJ$4:AJ$23)</f>
        <v>147</v>
      </c>
      <c r="AJ10">
        <f>_xlfn.XLOOKUP($A10,'2015-2016'!$B$4:$B$23,'2015-2016'!AK$4:AK$23)</f>
        <v>31</v>
      </c>
      <c r="AK10">
        <f>_xlfn.XLOOKUP($A10,'2015-2016'!$B$4:$B$23,'2015-2016'!AL$4:AL$23)</f>
        <v>4.741935483870968</v>
      </c>
      <c r="AL10">
        <f>_xlfn.XLOOKUP($A10,'2015-2016'!$B$4:$B$23,'2015-2016'!AM$4:AM$23)</f>
        <v>27534</v>
      </c>
      <c r="AM10">
        <f>_xlfn.XLOOKUP($A10,'2015-2016'!$B$4:$B$23,'2015-2016'!AN$4:AN$23)</f>
        <v>0.1</v>
      </c>
      <c r="AN10">
        <f>_xlfn.XLOOKUP($A10,'2015-2016'!$B$4:$B$23,'2015-2016'!AO$4:AO$23)</f>
        <v>0</v>
      </c>
      <c r="AO10">
        <f>_xlfn.XLOOKUP($A10,'2015-2016'!$B$4:$B$23,'2015-2016'!AP$4:AP$23)</f>
        <v>0</v>
      </c>
      <c r="AP10">
        <f>_xlfn.XLOOKUP($A10,'2015-2016'!$B$4:$B$23,'2015-2016'!AQ$4:AQ$23)</f>
        <v>0</v>
      </c>
      <c r="AQ10">
        <f>_xlfn.XLOOKUP($A10,'2015-2016'!$B$4:$B$23,'2015-2016'!AR$4:AR$23)</f>
        <v>0</v>
      </c>
      <c r="AR10">
        <f>_xlfn.XLOOKUP($A10,'2015-2016'!$B$4:$B$23,'2015-2016'!AS$4:AS$23)</f>
        <v>0</v>
      </c>
      <c r="AS10" t="str">
        <f>_xlfn.XLOOKUP($A10,'2015-2016'!$B$4:$B$23,'2015-2016'!AT$4:AT$23)</f>
        <v>15/16</v>
      </c>
    </row>
    <row r="11" spans="1:45" x14ac:dyDescent="0.25">
      <c r="A11">
        <v>10</v>
      </c>
      <c r="B11" t="str">
        <f>_xlfn.XLOOKUP($A11,'2015-2016'!$B$4:$B$23,'2015-2016'!C$4:C$23)</f>
        <v>Chelsea</v>
      </c>
      <c r="C11">
        <f>_xlfn.XLOOKUP($A11,'2015-2016'!$B$4:$B$23,'2015-2016'!D$4:D$23)</f>
        <v>59</v>
      </c>
      <c r="D11">
        <f>_xlfn.XLOOKUP($A11,'2015-2016'!$B$4:$B$23,'2015-2016'!E$4:E$23)</f>
        <v>53</v>
      </c>
      <c r="E11">
        <f>_xlfn.XLOOKUP($A11,'2015-2016'!$B$4:$B$23,'2015-2016'!F$4:F$23)</f>
        <v>6</v>
      </c>
      <c r="F11">
        <f>_xlfn.XLOOKUP($A11,'2015-2016'!$B$4:$B$23,'2015-2016'!G$4:G$23)</f>
        <v>9</v>
      </c>
      <c r="G11">
        <f>_xlfn.XLOOKUP($A11,'2015-2016'!$B$4:$B$23,'2015-2016'!H$4:H$23)</f>
        <v>58</v>
      </c>
      <c r="H11">
        <f>_xlfn.XLOOKUP($A11,'2015-2016'!$B$4:$B$23,'2015-2016'!I$4:I$23)</f>
        <v>5</v>
      </c>
      <c r="I11" t="str">
        <f>_xlfn.XLOOKUP($A11,'2015-2016'!$B$4:$B$23,'2015-2016'!J$4:J$23)</f>
        <v>NA</v>
      </c>
      <c r="J11" t="str">
        <f>_xlfn.XLOOKUP($A11,'2015-2016'!$B$4:$B$23,'2015-2016'!K$4:K$23)</f>
        <v>NA</v>
      </c>
      <c r="K11" t="str">
        <f>_xlfn.XLOOKUP($A11,'2015-2016'!$B$4:$B$23,'2015-2016'!L$4:L$23)</f>
        <v>NA</v>
      </c>
      <c r="L11">
        <f>_xlfn.XLOOKUP($A11,'2015-2016'!$B$4:$B$23,'2015-2016'!M$4:M$23)</f>
        <v>526</v>
      </c>
      <c r="M11">
        <f>_xlfn.XLOOKUP($A11,'2015-2016'!$B$4:$B$23,'2015-2016'!N$4:N$23)</f>
        <v>173</v>
      </c>
      <c r="N11">
        <f>_xlfn.XLOOKUP($A11,'2015-2016'!$B$4:$B$23,'2015-2016'!O$4:O$23)</f>
        <v>4</v>
      </c>
      <c r="O11">
        <f>_xlfn.XLOOKUP($A11,'2015-2016'!$B$4:$B$23,'2015-2016'!P$4:P$23)</f>
        <v>6</v>
      </c>
      <c r="P11">
        <f>_xlfn.XLOOKUP($A11,'2015-2016'!$B$4:$B$23,'2015-2016'!Q$4:Q$23)</f>
        <v>48</v>
      </c>
      <c r="Q11">
        <f>_xlfn.XLOOKUP($A11,'2015-2016'!$B$4:$B$23,'2015-2016'!R$4:R$23)</f>
        <v>11</v>
      </c>
      <c r="R11">
        <f>_xlfn.XLOOKUP($A11,'2015-2016'!$B$4:$B$23,'2015-2016'!S$4:S$23)</f>
        <v>1</v>
      </c>
      <c r="S11">
        <f>_xlfn.XLOOKUP($A11,'2015-2016'!$B$4:$B$23,'2015-2016'!T$4:T$23)</f>
        <v>90</v>
      </c>
      <c r="T11">
        <f>_xlfn.XLOOKUP($A11,'2015-2016'!$B$4:$B$23,'2015-2016'!U$4:U$23)</f>
        <v>2</v>
      </c>
      <c r="U11">
        <f>_xlfn.XLOOKUP($A11,'2015-2016'!$B$4:$B$23,'2015-2016'!V$4:V$23)</f>
        <v>4</v>
      </c>
      <c r="V11">
        <f>_xlfn.XLOOKUP($A11,'2015-2016'!$B$4:$B$23,'2015-2016'!W$4:W$23)</f>
        <v>122</v>
      </c>
      <c r="W11">
        <f>_xlfn.XLOOKUP($A11,'2015-2016'!$B$4:$B$23,'2015-2016'!X$4:X$23)</f>
        <v>790</v>
      </c>
      <c r="X11">
        <f>_xlfn.XLOOKUP($A11,'2015-2016'!$B$4:$B$23,'2015-2016'!Y$4:Y$23)</f>
        <v>790</v>
      </c>
      <c r="Y11">
        <f>_xlfn.XLOOKUP($A11,'2015-2016'!$B$4:$B$23,'2015-2016'!Z$4:Z$23)</f>
        <v>401</v>
      </c>
      <c r="Z11">
        <f>_xlfn.XLOOKUP($A11,'2015-2016'!$B$4:$B$23,'2015-2016'!AA$4:AA$23)</f>
        <v>19664</v>
      </c>
      <c r="AA11">
        <f>_xlfn.XLOOKUP($A11,'2015-2016'!$B$4:$B$23,'2015-2016'!AB$4:AB$23)</f>
        <v>74</v>
      </c>
      <c r="AB11">
        <f>_xlfn.XLOOKUP($A11,'2015-2016'!$B$4:$B$23,'2015-2016'!AC$4:AC$23)</f>
        <v>2933</v>
      </c>
      <c r="AC11">
        <f>_xlfn.XLOOKUP($A11,'2015-2016'!$B$4:$B$23,'2015-2016'!AD$4:AD$23)</f>
        <v>732</v>
      </c>
      <c r="AD11">
        <f>_xlfn.XLOOKUP($A11,'2015-2016'!$B$4:$B$23,'2015-2016'!AE$4:AE$23)</f>
        <v>240</v>
      </c>
      <c r="AE11">
        <f>_xlfn.XLOOKUP($A11,'2015-2016'!$B$4:$B$23,'2015-2016'!AF$4:AF$23)</f>
        <v>96.5</v>
      </c>
      <c r="AF11">
        <f>_xlfn.XLOOKUP($A11,'2015-2016'!$B$4:$B$23,'2015-2016'!AG$4:AG$23)</f>
        <v>87.49</v>
      </c>
      <c r="AG11">
        <f>_xlfn.XLOOKUP($A11,'2015-2016'!$B$4:$B$23,'2015-2016'!AH$4:AH$23)</f>
        <v>39</v>
      </c>
      <c r="AH11">
        <f>_xlfn.XLOOKUP($A11,'2015-2016'!$B$4:$B$23,'2015-2016'!AI$4:AI$23)</f>
        <v>37</v>
      </c>
      <c r="AI11">
        <f>_xlfn.XLOOKUP($A11,'2015-2016'!$B$4:$B$23,'2015-2016'!AJ$4:AJ$23)</f>
        <v>553.5</v>
      </c>
      <c r="AJ11">
        <f>_xlfn.XLOOKUP($A11,'2015-2016'!$B$4:$B$23,'2015-2016'!AK$4:AK$23)</f>
        <v>40</v>
      </c>
      <c r="AK11">
        <f>_xlfn.XLOOKUP($A11,'2015-2016'!$B$4:$B$23,'2015-2016'!AL$4:AL$23)</f>
        <v>13.8375</v>
      </c>
      <c r="AL11">
        <f>_xlfn.XLOOKUP($A11,'2015-2016'!$B$4:$B$23,'2015-2016'!AM$4:AM$23)</f>
        <v>41500</v>
      </c>
      <c r="AM11">
        <f>_xlfn.XLOOKUP($A11,'2015-2016'!$B$4:$B$23,'2015-2016'!AN$4:AN$23)</f>
        <v>-0.03</v>
      </c>
      <c r="AN11">
        <f>_xlfn.XLOOKUP($A11,'2015-2016'!$B$4:$B$23,'2015-2016'!AO$4:AO$23)</f>
        <v>1</v>
      </c>
      <c r="AO11">
        <f>_xlfn.XLOOKUP($A11,'2015-2016'!$B$4:$B$23,'2015-2016'!AP$4:AP$23)</f>
        <v>0</v>
      </c>
      <c r="AP11">
        <f>_xlfn.XLOOKUP($A11,'2015-2016'!$B$4:$B$23,'2015-2016'!AQ$4:AQ$23)</f>
        <v>0</v>
      </c>
      <c r="AQ11">
        <f>_xlfn.XLOOKUP($A11,'2015-2016'!$B$4:$B$23,'2015-2016'!AR$4:AR$23)</f>
        <v>0</v>
      </c>
      <c r="AR11">
        <f>_xlfn.XLOOKUP($A11,'2015-2016'!$B$4:$B$23,'2015-2016'!AS$4:AS$23)</f>
        <v>1</v>
      </c>
      <c r="AS11" t="str">
        <f>_xlfn.XLOOKUP($A11,'2015-2016'!$B$4:$B$23,'2015-2016'!AT$4:AT$23)</f>
        <v>15/16</v>
      </c>
    </row>
    <row r="12" spans="1:45" x14ac:dyDescent="0.25">
      <c r="A12">
        <v>11</v>
      </c>
      <c r="B12" t="str">
        <f>_xlfn.XLOOKUP($A12,'2015-2016'!$B$4:$B$23,'2015-2016'!C$4:C$23)</f>
        <v>Everton</v>
      </c>
      <c r="C12">
        <f>_xlfn.XLOOKUP($A12,'2015-2016'!$B$4:$B$23,'2015-2016'!D$4:D$23)</f>
        <v>59</v>
      </c>
      <c r="D12">
        <f>_xlfn.XLOOKUP($A12,'2015-2016'!$B$4:$B$23,'2015-2016'!E$4:E$23)</f>
        <v>55</v>
      </c>
      <c r="E12">
        <f>_xlfn.XLOOKUP($A12,'2015-2016'!$B$4:$B$23,'2015-2016'!F$4:F$23)</f>
        <v>4</v>
      </c>
      <c r="F12">
        <f>_xlfn.XLOOKUP($A12,'2015-2016'!$B$4:$B$23,'2015-2016'!G$4:G$23)</f>
        <v>10</v>
      </c>
      <c r="G12">
        <f>_xlfn.XLOOKUP($A12,'2015-2016'!$B$4:$B$23,'2015-2016'!H$4:H$23)</f>
        <v>44</v>
      </c>
      <c r="H12">
        <f>_xlfn.XLOOKUP($A12,'2015-2016'!$B$4:$B$23,'2015-2016'!I$4:I$23)</f>
        <v>5</v>
      </c>
      <c r="I12" t="str">
        <f>_xlfn.XLOOKUP($A12,'2015-2016'!$B$4:$B$23,'2015-2016'!J$4:J$23)</f>
        <v>NA</v>
      </c>
      <c r="J12" t="str">
        <f>_xlfn.XLOOKUP($A12,'2015-2016'!$B$4:$B$23,'2015-2016'!K$4:K$23)</f>
        <v>NA</v>
      </c>
      <c r="K12" t="str">
        <f>_xlfn.XLOOKUP($A12,'2015-2016'!$B$4:$B$23,'2015-2016'!L$4:L$23)</f>
        <v>NA</v>
      </c>
      <c r="L12">
        <f>_xlfn.XLOOKUP($A12,'2015-2016'!$B$4:$B$23,'2015-2016'!M$4:M$23)</f>
        <v>491</v>
      </c>
      <c r="M12">
        <f>_xlfn.XLOOKUP($A12,'2015-2016'!$B$4:$B$23,'2015-2016'!N$4:N$23)</f>
        <v>175</v>
      </c>
      <c r="N12">
        <f>_xlfn.XLOOKUP($A12,'2015-2016'!$B$4:$B$23,'2015-2016'!O$4:O$23)</f>
        <v>4</v>
      </c>
      <c r="O12">
        <f>_xlfn.XLOOKUP($A12,'2015-2016'!$B$4:$B$23,'2015-2016'!P$4:P$23)</f>
        <v>10</v>
      </c>
      <c r="P12">
        <f>_xlfn.XLOOKUP($A12,'2015-2016'!$B$4:$B$23,'2015-2016'!Q$4:Q$23)</f>
        <v>53</v>
      </c>
      <c r="Q12">
        <f>_xlfn.XLOOKUP($A12,'2015-2016'!$B$4:$B$23,'2015-2016'!R$4:R$23)</f>
        <v>6</v>
      </c>
      <c r="R12">
        <f>_xlfn.XLOOKUP($A12,'2015-2016'!$B$4:$B$23,'2015-2016'!S$4:S$23)</f>
        <v>2</v>
      </c>
      <c r="S12">
        <f>_xlfn.XLOOKUP($A12,'2015-2016'!$B$4:$B$23,'2015-2016'!T$4:T$23)</f>
        <v>55</v>
      </c>
      <c r="T12">
        <f>_xlfn.XLOOKUP($A12,'2015-2016'!$B$4:$B$23,'2015-2016'!U$4:U$23)</f>
        <v>1</v>
      </c>
      <c r="U12">
        <f>_xlfn.XLOOKUP($A12,'2015-2016'!$B$4:$B$23,'2015-2016'!V$4:V$23)</f>
        <v>6</v>
      </c>
      <c r="V12">
        <f>_xlfn.XLOOKUP($A12,'2015-2016'!$B$4:$B$23,'2015-2016'!W$4:W$23)</f>
        <v>127</v>
      </c>
      <c r="W12">
        <f>_xlfn.XLOOKUP($A12,'2015-2016'!$B$4:$B$23,'2015-2016'!X$4:X$23)</f>
        <v>994</v>
      </c>
      <c r="X12">
        <f>_xlfn.XLOOKUP($A12,'2015-2016'!$B$4:$B$23,'2015-2016'!Y$4:Y$23)</f>
        <v>730</v>
      </c>
      <c r="Y12">
        <f>_xlfn.XLOOKUP($A12,'2015-2016'!$B$4:$B$23,'2015-2016'!Z$4:Z$23)</f>
        <v>306</v>
      </c>
      <c r="Z12">
        <f>_xlfn.XLOOKUP($A12,'2015-2016'!$B$4:$B$23,'2015-2016'!AA$4:AA$23)</f>
        <v>17947</v>
      </c>
      <c r="AA12">
        <f>_xlfn.XLOOKUP($A12,'2015-2016'!$B$4:$B$23,'2015-2016'!AB$4:AB$23)</f>
        <v>57</v>
      </c>
      <c r="AB12">
        <f>_xlfn.XLOOKUP($A12,'2015-2016'!$B$4:$B$23,'2015-2016'!AC$4:AC$23)</f>
        <v>2699</v>
      </c>
      <c r="AC12">
        <f>_xlfn.XLOOKUP($A12,'2015-2016'!$B$4:$B$23,'2015-2016'!AD$4:AD$23)</f>
        <v>782</v>
      </c>
      <c r="AD12">
        <f>_xlfn.XLOOKUP($A12,'2015-2016'!$B$4:$B$23,'2015-2016'!AE$4:AE$23)</f>
        <v>218</v>
      </c>
      <c r="AE12">
        <f>_xlfn.XLOOKUP($A12,'2015-2016'!$B$4:$B$23,'2015-2016'!AF$4:AF$23)</f>
        <v>48.2</v>
      </c>
      <c r="AF12">
        <f>_xlfn.XLOOKUP($A12,'2015-2016'!$B$4:$B$23,'2015-2016'!AG$4:AG$23)</f>
        <v>11</v>
      </c>
      <c r="AG12">
        <f>_xlfn.XLOOKUP($A12,'2015-2016'!$B$4:$B$23,'2015-2016'!AH$4:AH$23)</f>
        <v>18</v>
      </c>
      <c r="AH12">
        <f>_xlfn.XLOOKUP($A12,'2015-2016'!$B$4:$B$23,'2015-2016'!AI$4:AI$23)</f>
        <v>17</v>
      </c>
      <c r="AI12">
        <f>_xlfn.XLOOKUP($A12,'2015-2016'!$B$4:$B$23,'2015-2016'!AJ$4:AJ$23)</f>
        <v>249.85</v>
      </c>
      <c r="AJ12">
        <f>_xlfn.XLOOKUP($A12,'2015-2016'!$B$4:$B$23,'2015-2016'!AK$4:AK$23)</f>
        <v>39</v>
      </c>
      <c r="AK12">
        <f>_xlfn.XLOOKUP($A12,'2015-2016'!$B$4:$B$23,'2015-2016'!AL$4:AL$23)</f>
        <v>6.4064102564102559</v>
      </c>
      <c r="AL12">
        <f>_xlfn.XLOOKUP($A12,'2015-2016'!$B$4:$B$23,'2015-2016'!AM$4:AM$23)</f>
        <v>38124</v>
      </c>
      <c r="AM12">
        <f>_xlfn.XLOOKUP($A12,'2015-2016'!$B$4:$B$23,'2015-2016'!AN$4:AN$23)</f>
        <v>0.05</v>
      </c>
      <c r="AN12">
        <f>_xlfn.XLOOKUP($A12,'2015-2016'!$B$4:$B$23,'2015-2016'!AO$4:AO$23)</f>
        <v>0</v>
      </c>
      <c r="AO12">
        <f>_xlfn.XLOOKUP($A12,'2015-2016'!$B$4:$B$23,'2015-2016'!AP$4:AP$23)</f>
        <v>0</v>
      </c>
      <c r="AP12">
        <f>_xlfn.XLOOKUP($A12,'2015-2016'!$B$4:$B$23,'2015-2016'!AQ$4:AQ$23)</f>
        <v>0</v>
      </c>
      <c r="AQ12">
        <f>_xlfn.XLOOKUP($A12,'2015-2016'!$B$4:$B$23,'2015-2016'!AR$4:AR$23)</f>
        <v>0</v>
      </c>
      <c r="AR12">
        <f>_xlfn.XLOOKUP($A12,'2015-2016'!$B$4:$B$23,'2015-2016'!AS$4:AS$23)</f>
        <v>0</v>
      </c>
      <c r="AS12" t="str">
        <f>_xlfn.XLOOKUP($A12,'2015-2016'!$B$4:$B$23,'2015-2016'!AT$4:AT$23)</f>
        <v>15/16</v>
      </c>
    </row>
    <row r="13" spans="1:45" x14ac:dyDescent="0.25">
      <c r="A13">
        <v>12</v>
      </c>
      <c r="B13" t="str">
        <f>_xlfn.XLOOKUP($A13,'2015-2016'!$B$4:$B$23,'2015-2016'!C$4:C$23)</f>
        <v>Swansea City</v>
      </c>
      <c r="C13">
        <f>_xlfn.XLOOKUP($A13,'2015-2016'!$B$4:$B$23,'2015-2016'!D$4:D$23)</f>
        <v>42</v>
      </c>
      <c r="D13">
        <f>_xlfn.XLOOKUP($A13,'2015-2016'!$B$4:$B$23,'2015-2016'!E$4:E$23)</f>
        <v>52</v>
      </c>
      <c r="E13">
        <f>_xlfn.XLOOKUP($A13,'2015-2016'!$B$4:$B$23,'2015-2016'!F$4:F$23)</f>
        <v>-10</v>
      </c>
      <c r="F13">
        <f>_xlfn.XLOOKUP($A13,'2015-2016'!$B$4:$B$23,'2015-2016'!G$4:G$23)</f>
        <v>9</v>
      </c>
      <c r="G13">
        <f>_xlfn.XLOOKUP($A13,'2015-2016'!$B$4:$B$23,'2015-2016'!H$4:H$23)</f>
        <v>60</v>
      </c>
      <c r="H13">
        <f>_xlfn.XLOOKUP($A13,'2015-2016'!$B$4:$B$23,'2015-2016'!I$4:I$23)</f>
        <v>1</v>
      </c>
      <c r="I13" t="str">
        <f>_xlfn.XLOOKUP($A13,'2015-2016'!$B$4:$B$23,'2015-2016'!J$4:J$23)</f>
        <v>NA</v>
      </c>
      <c r="J13" t="str">
        <f>_xlfn.XLOOKUP($A13,'2015-2016'!$B$4:$B$23,'2015-2016'!K$4:K$23)</f>
        <v>NA</v>
      </c>
      <c r="K13" t="str">
        <f>_xlfn.XLOOKUP($A13,'2015-2016'!$B$4:$B$23,'2015-2016'!L$4:L$23)</f>
        <v>NA</v>
      </c>
      <c r="L13">
        <f>_xlfn.XLOOKUP($A13,'2015-2016'!$B$4:$B$23,'2015-2016'!M$4:M$23)</f>
        <v>441</v>
      </c>
      <c r="M13">
        <f>_xlfn.XLOOKUP($A13,'2015-2016'!$B$4:$B$23,'2015-2016'!N$4:N$23)</f>
        <v>136</v>
      </c>
      <c r="N13">
        <f>_xlfn.XLOOKUP($A13,'2015-2016'!$B$4:$B$23,'2015-2016'!O$4:O$23)</f>
        <v>5</v>
      </c>
      <c r="O13">
        <f>_xlfn.XLOOKUP($A13,'2015-2016'!$B$4:$B$23,'2015-2016'!P$4:P$23)</f>
        <v>6</v>
      </c>
      <c r="P13">
        <f>_xlfn.XLOOKUP($A13,'2015-2016'!$B$4:$B$23,'2015-2016'!Q$4:Q$23)</f>
        <v>35</v>
      </c>
      <c r="Q13">
        <f>_xlfn.XLOOKUP($A13,'2015-2016'!$B$4:$B$23,'2015-2016'!R$4:R$23)</f>
        <v>7</v>
      </c>
      <c r="R13">
        <f>_xlfn.XLOOKUP($A13,'2015-2016'!$B$4:$B$23,'2015-2016'!S$4:S$23)</f>
        <v>3</v>
      </c>
      <c r="S13">
        <f>_xlfn.XLOOKUP($A13,'2015-2016'!$B$4:$B$23,'2015-2016'!T$4:T$23)</f>
        <v>82</v>
      </c>
      <c r="T13">
        <f>_xlfn.XLOOKUP($A13,'2015-2016'!$B$4:$B$23,'2015-2016'!U$4:U$23)</f>
        <v>5</v>
      </c>
      <c r="U13">
        <f>_xlfn.XLOOKUP($A13,'2015-2016'!$B$4:$B$23,'2015-2016'!V$4:V$23)</f>
        <v>2</v>
      </c>
      <c r="V13">
        <f>_xlfn.XLOOKUP($A13,'2015-2016'!$B$4:$B$23,'2015-2016'!W$4:W$23)</f>
        <v>119</v>
      </c>
      <c r="W13">
        <f>_xlfn.XLOOKUP($A13,'2015-2016'!$B$4:$B$23,'2015-2016'!X$4:X$23)</f>
        <v>1058</v>
      </c>
      <c r="X13">
        <f>_xlfn.XLOOKUP($A13,'2015-2016'!$B$4:$B$23,'2015-2016'!Y$4:Y$23)</f>
        <v>638</v>
      </c>
      <c r="Y13">
        <f>_xlfn.XLOOKUP($A13,'2015-2016'!$B$4:$B$23,'2015-2016'!Z$4:Z$23)</f>
        <v>392</v>
      </c>
      <c r="Z13">
        <f>_xlfn.XLOOKUP($A13,'2015-2016'!$B$4:$B$23,'2015-2016'!AA$4:AA$23)</f>
        <v>18169</v>
      </c>
      <c r="AA13">
        <f>_xlfn.XLOOKUP($A13,'2015-2016'!$B$4:$B$23,'2015-2016'!AB$4:AB$23)</f>
        <v>46</v>
      </c>
      <c r="AB13">
        <f>_xlfn.XLOOKUP($A13,'2015-2016'!$B$4:$B$23,'2015-2016'!AC$4:AC$23)</f>
        <v>2796</v>
      </c>
      <c r="AC13">
        <f>_xlfn.XLOOKUP($A13,'2015-2016'!$B$4:$B$23,'2015-2016'!AD$4:AD$23)</f>
        <v>725</v>
      </c>
      <c r="AD13">
        <f>_xlfn.XLOOKUP($A13,'2015-2016'!$B$4:$B$23,'2015-2016'!AE$4:AE$23)</f>
        <v>163</v>
      </c>
      <c r="AE13">
        <f>_xlfn.XLOOKUP($A13,'2015-2016'!$B$4:$B$23,'2015-2016'!AF$4:AF$23)</f>
        <v>21.81</v>
      </c>
      <c r="AF13">
        <f>_xlfn.XLOOKUP($A13,'2015-2016'!$B$4:$B$23,'2015-2016'!AG$4:AG$23)</f>
        <v>16.809999999999999</v>
      </c>
      <c r="AG13">
        <f>_xlfn.XLOOKUP($A13,'2015-2016'!$B$4:$B$23,'2015-2016'!AH$4:AH$23)</f>
        <v>20</v>
      </c>
      <c r="AH13">
        <f>_xlfn.XLOOKUP($A13,'2015-2016'!$B$4:$B$23,'2015-2016'!AI$4:AI$23)</f>
        <v>24</v>
      </c>
      <c r="AI13">
        <f>_xlfn.XLOOKUP($A13,'2015-2016'!$B$4:$B$23,'2015-2016'!AJ$4:AJ$23)</f>
        <v>145.80000000000001</v>
      </c>
      <c r="AJ13">
        <f>_xlfn.XLOOKUP($A13,'2015-2016'!$B$4:$B$23,'2015-2016'!AK$4:AK$23)</f>
        <v>36</v>
      </c>
      <c r="AK13">
        <f>_xlfn.XLOOKUP($A13,'2015-2016'!$B$4:$B$23,'2015-2016'!AL$4:AL$23)</f>
        <v>4.0500000000000007</v>
      </c>
      <c r="AL13">
        <f>_xlfn.XLOOKUP($A13,'2015-2016'!$B$4:$B$23,'2015-2016'!AM$4:AM$23)</f>
        <v>20711</v>
      </c>
      <c r="AM13">
        <f>_xlfn.XLOOKUP($A13,'2015-2016'!$B$4:$B$23,'2015-2016'!AN$4:AN$23)</f>
        <v>0.09</v>
      </c>
      <c r="AN13">
        <f>_xlfn.XLOOKUP($A13,'2015-2016'!$B$4:$B$23,'2015-2016'!AO$4:AO$23)</f>
        <v>0</v>
      </c>
      <c r="AO13">
        <f>_xlfn.XLOOKUP($A13,'2015-2016'!$B$4:$B$23,'2015-2016'!AP$4:AP$23)</f>
        <v>0</v>
      </c>
      <c r="AP13">
        <f>_xlfn.XLOOKUP($A13,'2015-2016'!$B$4:$B$23,'2015-2016'!AQ$4:AQ$23)</f>
        <v>0</v>
      </c>
      <c r="AQ13">
        <f>_xlfn.XLOOKUP($A13,'2015-2016'!$B$4:$B$23,'2015-2016'!AR$4:AR$23)</f>
        <v>0</v>
      </c>
      <c r="AR13">
        <f>_xlfn.XLOOKUP($A13,'2015-2016'!$B$4:$B$23,'2015-2016'!AS$4:AS$23)</f>
        <v>0</v>
      </c>
      <c r="AS13" t="str">
        <f>_xlfn.XLOOKUP($A13,'2015-2016'!$B$4:$B$23,'2015-2016'!AT$4:AT$23)</f>
        <v>15/16</v>
      </c>
    </row>
    <row r="14" spans="1:45" x14ac:dyDescent="0.25">
      <c r="A14">
        <v>13</v>
      </c>
      <c r="B14" t="str">
        <f>_xlfn.XLOOKUP($A14,'2015-2016'!$B$4:$B$23,'2015-2016'!C$4:C$23)</f>
        <v>Watford</v>
      </c>
      <c r="C14">
        <f>_xlfn.XLOOKUP($A14,'2015-2016'!$B$4:$B$23,'2015-2016'!D$4:D$23)</f>
        <v>40</v>
      </c>
      <c r="D14">
        <f>_xlfn.XLOOKUP($A14,'2015-2016'!$B$4:$B$23,'2015-2016'!E$4:E$23)</f>
        <v>50</v>
      </c>
      <c r="E14">
        <f>_xlfn.XLOOKUP($A14,'2015-2016'!$B$4:$B$23,'2015-2016'!F$4:F$23)</f>
        <v>-10</v>
      </c>
      <c r="F14">
        <f>_xlfn.XLOOKUP($A14,'2015-2016'!$B$4:$B$23,'2015-2016'!G$4:G$23)</f>
        <v>11</v>
      </c>
      <c r="G14">
        <f>_xlfn.XLOOKUP($A14,'2015-2016'!$B$4:$B$23,'2015-2016'!H$4:H$23)</f>
        <v>73</v>
      </c>
      <c r="H14">
        <f>_xlfn.XLOOKUP($A14,'2015-2016'!$B$4:$B$23,'2015-2016'!I$4:I$23)</f>
        <v>3</v>
      </c>
      <c r="I14" t="str">
        <f>_xlfn.XLOOKUP($A14,'2015-2016'!$B$4:$B$23,'2015-2016'!J$4:J$23)</f>
        <v>NA</v>
      </c>
      <c r="J14" t="str">
        <f>_xlfn.XLOOKUP($A14,'2015-2016'!$B$4:$B$23,'2015-2016'!K$4:K$23)</f>
        <v>NA</v>
      </c>
      <c r="K14" t="str">
        <f>_xlfn.XLOOKUP($A14,'2015-2016'!$B$4:$B$23,'2015-2016'!L$4:L$23)</f>
        <v>NA</v>
      </c>
      <c r="L14">
        <f>_xlfn.XLOOKUP($A14,'2015-2016'!$B$4:$B$23,'2015-2016'!M$4:M$23)</f>
        <v>446</v>
      </c>
      <c r="M14">
        <f>_xlfn.XLOOKUP($A14,'2015-2016'!$B$4:$B$23,'2015-2016'!N$4:N$23)</f>
        <v>140</v>
      </c>
      <c r="N14">
        <f>_xlfn.XLOOKUP($A14,'2015-2016'!$B$4:$B$23,'2015-2016'!O$4:O$23)</f>
        <v>6</v>
      </c>
      <c r="O14">
        <f>_xlfn.XLOOKUP($A14,'2015-2016'!$B$4:$B$23,'2015-2016'!P$4:P$23)</f>
        <v>5</v>
      </c>
      <c r="P14">
        <f>_xlfn.XLOOKUP($A14,'2015-2016'!$B$4:$B$23,'2015-2016'!Q$4:Q$23)</f>
        <v>37</v>
      </c>
      <c r="Q14">
        <f>_xlfn.XLOOKUP($A14,'2015-2016'!$B$4:$B$23,'2015-2016'!R$4:R$23)</f>
        <v>3</v>
      </c>
      <c r="R14">
        <f>_xlfn.XLOOKUP($A14,'2015-2016'!$B$4:$B$23,'2015-2016'!S$4:S$23)</f>
        <v>0</v>
      </c>
      <c r="S14">
        <f>_xlfn.XLOOKUP($A14,'2015-2016'!$B$4:$B$23,'2015-2016'!T$4:T$23)</f>
        <v>50</v>
      </c>
      <c r="T14">
        <f>_xlfn.XLOOKUP($A14,'2015-2016'!$B$4:$B$23,'2015-2016'!U$4:U$23)</f>
        <v>2</v>
      </c>
      <c r="U14">
        <f>_xlfn.XLOOKUP($A14,'2015-2016'!$B$4:$B$23,'2015-2016'!V$4:V$23)</f>
        <v>8</v>
      </c>
      <c r="V14">
        <f>_xlfn.XLOOKUP($A14,'2015-2016'!$B$4:$B$23,'2015-2016'!W$4:W$23)</f>
        <v>121</v>
      </c>
      <c r="W14">
        <f>_xlfn.XLOOKUP($A14,'2015-2016'!$B$4:$B$23,'2015-2016'!X$4:X$23)</f>
        <v>931</v>
      </c>
      <c r="X14">
        <f>_xlfn.XLOOKUP($A14,'2015-2016'!$B$4:$B$23,'2015-2016'!Y$4:Y$23)</f>
        <v>794</v>
      </c>
      <c r="Y14">
        <f>_xlfn.XLOOKUP($A14,'2015-2016'!$B$4:$B$23,'2015-2016'!Z$4:Z$23)</f>
        <v>455</v>
      </c>
      <c r="Z14">
        <f>_xlfn.XLOOKUP($A14,'2015-2016'!$B$4:$B$23,'2015-2016'!AA$4:AA$23)</f>
        <v>14531</v>
      </c>
      <c r="AA14">
        <f>_xlfn.XLOOKUP($A14,'2015-2016'!$B$4:$B$23,'2015-2016'!AB$4:AB$23)</f>
        <v>29</v>
      </c>
      <c r="AB14">
        <f>_xlfn.XLOOKUP($A14,'2015-2016'!$B$4:$B$23,'2015-2016'!AC$4:AC$23)</f>
        <v>2164</v>
      </c>
      <c r="AC14">
        <f>_xlfn.XLOOKUP($A14,'2015-2016'!$B$4:$B$23,'2015-2016'!AD$4:AD$23)</f>
        <v>703</v>
      </c>
      <c r="AD14">
        <f>_xlfn.XLOOKUP($A14,'2015-2016'!$B$4:$B$23,'2015-2016'!AE$4:AE$23)</f>
        <v>164</v>
      </c>
      <c r="AE14">
        <f>_xlfn.XLOOKUP($A14,'2015-2016'!$B$4:$B$23,'2015-2016'!AF$4:AF$23)</f>
        <v>82.8</v>
      </c>
      <c r="AF14">
        <f>_xlfn.XLOOKUP($A14,'2015-2016'!$B$4:$B$23,'2015-2016'!AG$4:AG$23)</f>
        <v>9.75</v>
      </c>
      <c r="AG14">
        <f>_xlfn.XLOOKUP($A14,'2015-2016'!$B$4:$B$23,'2015-2016'!AH$4:AH$23)</f>
        <v>33</v>
      </c>
      <c r="AH14">
        <f>_xlfn.XLOOKUP($A14,'2015-2016'!$B$4:$B$23,'2015-2016'!AI$4:AI$23)</f>
        <v>30</v>
      </c>
      <c r="AI14">
        <f>_xlfn.XLOOKUP($A14,'2015-2016'!$B$4:$B$23,'2015-2016'!AJ$4:AJ$23)</f>
        <v>137</v>
      </c>
      <c r="AJ14">
        <f>_xlfn.XLOOKUP($A14,'2015-2016'!$B$4:$B$23,'2015-2016'!AK$4:AK$23)</f>
        <v>39</v>
      </c>
      <c r="AK14">
        <f>_xlfn.XLOOKUP($A14,'2015-2016'!$B$4:$B$23,'2015-2016'!AL$4:AL$23)</f>
        <v>3.5128205128205128</v>
      </c>
      <c r="AL14">
        <f>_xlfn.XLOOKUP($A14,'2015-2016'!$B$4:$B$23,'2015-2016'!AM$4:AM$23)</f>
        <v>20594</v>
      </c>
      <c r="AM14">
        <f>_xlfn.XLOOKUP($A14,'2015-2016'!$B$4:$B$23,'2015-2016'!AN$4:AN$23)</f>
        <v>0.12</v>
      </c>
      <c r="AN14">
        <f>_xlfn.XLOOKUP($A14,'2015-2016'!$B$4:$B$23,'2015-2016'!AO$4:AO$23)</f>
        <v>0</v>
      </c>
      <c r="AO14">
        <f>_xlfn.XLOOKUP($A14,'2015-2016'!$B$4:$B$23,'2015-2016'!AP$4:AP$23)</f>
        <v>1</v>
      </c>
      <c r="AP14">
        <f>_xlfn.XLOOKUP($A14,'2015-2016'!$B$4:$B$23,'2015-2016'!AQ$4:AQ$23)</f>
        <v>0</v>
      </c>
      <c r="AQ14">
        <f>_xlfn.XLOOKUP($A14,'2015-2016'!$B$4:$B$23,'2015-2016'!AR$4:AR$23)</f>
        <v>0</v>
      </c>
      <c r="AR14">
        <f>_xlfn.XLOOKUP($A14,'2015-2016'!$B$4:$B$23,'2015-2016'!AS$4:AS$23)</f>
        <v>0</v>
      </c>
      <c r="AS14" t="str">
        <f>_xlfn.XLOOKUP($A14,'2015-2016'!$B$4:$B$23,'2015-2016'!AT$4:AT$23)</f>
        <v>15/16</v>
      </c>
    </row>
    <row r="15" spans="1:45" x14ac:dyDescent="0.25">
      <c r="A15">
        <v>14</v>
      </c>
      <c r="B15" t="str">
        <f>_xlfn.XLOOKUP($A15,'2015-2016'!$B$4:$B$23,'2015-2016'!C$4:C$23)</f>
        <v>West Bromwich Albion</v>
      </c>
      <c r="C15">
        <f>_xlfn.XLOOKUP($A15,'2015-2016'!$B$4:$B$23,'2015-2016'!D$4:D$23)</f>
        <v>34</v>
      </c>
      <c r="D15">
        <f>_xlfn.XLOOKUP($A15,'2015-2016'!$B$4:$B$23,'2015-2016'!E$4:E$23)</f>
        <v>48</v>
      </c>
      <c r="E15">
        <f>_xlfn.XLOOKUP($A15,'2015-2016'!$B$4:$B$23,'2015-2016'!F$4:F$23)</f>
        <v>-14</v>
      </c>
      <c r="F15">
        <f>_xlfn.XLOOKUP($A15,'2015-2016'!$B$4:$B$23,'2015-2016'!G$4:G$23)</f>
        <v>11</v>
      </c>
      <c r="G15">
        <f>_xlfn.XLOOKUP($A15,'2015-2016'!$B$4:$B$23,'2015-2016'!H$4:H$23)</f>
        <v>65</v>
      </c>
      <c r="H15">
        <f>_xlfn.XLOOKUP($A15,'2015-2016'!$B$4:$B$23,'2015-2016'!I$4:I$23)</f>
        <v>3</v>
      </c>
      <c r="I15" t="str">
        <f>_xlfn.XLOOKUP($A15,'2015-2016'!$B$4:$B$23,'2015-2016'!J$4:J$23)</f>
        <v>NA</v>
      </c>
      <c r="J15" t="str">
        <f>_xlfn.XLOOKUP($A15,'2015-2016'!$B$4:$B$23,'2015-2016'!K$4:K$23)</f>
        <v>NA</v>
      </c>
      <c r="K15" t="str">
        <f>_xlfn.XLOOKUP($A15,'2015-2016'!$B$4:$B$23,'2015-2016'!L$4:L$23)</f>
        <v>NA</v>
      </c>
      <c r="L15">
        <f>_xlfn.XLOOKUP($A15,'2015-2016'!$B$4:$B$23,'2015-2016'!M$4:M$23)</f>
        <v>388</v>
      </c>
      <c r="M15">
        <f>_xlfn.XLOOKUP($A15,'2015-2016'!$B$4:$B$23,'2015-2016'!N$4:N$23)</f>
        <v>107</v>
      </c>
      <c r="N15">
        <f>_xlfn.XLOOKUP($A15,'2015-2016'!$B$4:$B$23,'2015-2016'!O$4:O$23)</f>
        <v>1</v>
      </c>
      <c r="O15">
        <f>_xlfn.XLOOKUP($A15,'2015-2016'!$B$4:$B$23,'2015-2016'!P$4:P$23)</f>
        <v>12</v>
      </c>
      <c r="P15">
        <f>_xlfn.XLOOKUP($A15,'2015-2016'!$B$4:$B$23,'2015-2016'!Q$4:Q$23)</f>
        <v>31</v>
      </c>
      <c r="Q15">
        <f>_xlfn.XLOOKUP($A15,'2015-2016'!$B$4:$B$23,'2015-2016'!R$4:R$23)</f>
        <v>3</v>
      </c>
      <c r="R15">
        <f>_xlfn.XLOOKUP($A15,'2015-2016'!$B$4:$B$23,'2015-2016'!S$4:S$23)</f>
        <v>0</v>
      </c>
      <c r="S15">
        <f>_xlfn.XLOOKUP($A15,'2015-2016'!$B$4:$B$23,'2015-2016'!T$4:T$23)</f>
        <v>68</v>
      </c>
      <c r="T15">
        <f>_xlfn.XLOOKUP($A15,'2015-2016'!$B$4:$B$23,'2015-2016'!U$4:U$23)</f>
        <v>3</v>
      </c>
      <c r="U15">
        <f>_xlfn.XLOOKUP($A15,'2015-2016'!$B$4:$B$23,'2015-2016'!V$4:V$23)</f>
        <v>6</v>
      </c>
      <c r="V15">
        <f>_xlfn.XLOOKUP($A15,'2015-2016'!$B$4:$B$23,'2015-2016'!W$4:W$23)</f>
        <v>109</v>
      </c>
      <c r="W15">
        <f>_xlfn.XLOOKUP($A15,'2015-2016'!$B$4:$B$23,'2015-2016'!X$4:X$23)</f>
        <v>992</v>
      </c>
      <c r="X15">
        <f>_xlfn.XLOOKUP($A15,'2015-2016'!$B$4:$B$23,'2015-2016'!Y$4:Y$23)</f>
        <v>642</v>
      </c>
      <c r="Y15">
        <f>_xlfn.XLOOKUP($A15,'2015-2016'!$B$4:$B$23,'2015-2016'!Z$4:Z$23)</f>
        <v>400</v>
      </c>
      <c r="Z15">
        <f>_xlfn.XLOOKUP($A15,'2015-2016'!$B$4:$B$23,'2015-2016'!AA$4:AA$23)</f>
        <v>12799</v>
      </c>
      <c r="AA15">
        <f>_xlfn.XLOOKUP($A15,'2015-2016'!$B$4:$B$23,'2015-2016'!AB$4:AB$23)</f>
        <v>29</v>
      </c>
      <c r="AB15">
        <f>_xlfn.XLOOKUP($A15,'2015-2016'!$B$4:$B$23,'2015-2016'!AC$4:AC$23)</f>
        <v>1638</v>
      </c>
      <c r="AC15">
        <f>_xlfn.XLOOKUP($A15,'2015-2016'!$B$4:$B$23,'2015-2016'!AD$4:AD$23)</f>
        <v>847</v>
      </c>
      <c r="AD15">
        <f>_xlfn.XLOOKUP($A15,'2015-2016'!$B$4:$B$23,'2015-2016'!AE$4:AE$23)</f>
        <v>188</v>
      </c>
      <c r="AE15">
        <f>_xlfn.XLOOKUP($A15,'2015-2016'!$B$4:$B$23,'2015-2016'!AF$4:AF$23)</f>
        <v>42.9</v>
      </c>
      <c r="AF15">
        <f>_xlfn.XLOOKUP($A15,'2015-2016'!$B$4:$B$23,'2015-2016'!AG$4:AG$23)</f>
        <v>12.92</v>
      </c>
      <c r="AG15">
        <f>_xlfn.XLOOKUP($A15,'2015-2016'!$B$4:$B$23,'2015-2016'!AH$4:AH$23)</f>
        <v>12</v>
      </c>
      <c r="AH15">
        <f>_xlfn.XLOOKUP($A15,'2015-2016'!$B$4:$B$23,'2015-2016'!AI$4:AI$23)</f>
        <v>13</v>
      </c>
      <c r="AI15">
        <f>_xlfn.XLOOKUP($A15,'2015-2016'!$B$4:$B$23,'2015-2016'!AJ$4:AJ$23)</f>
        <v>113.1</v>
      </c>
      <c r="AJ15">
        <f>_xlfn.XLOOKUP($A15,'2015-2016'!$B$4:$B$23,'2015-2016'!AK$4:AK$23)</f>
        <v>35</v>
      </c>
      <c r="AK15">
        <f>_xlfn.XLOOKUP($A15,'2015-2016'!$B$4:$B$23,'2015-2016'!AL$4:AL$23)</f>
        <v>3.2314285714285713</v>
      </c>
      <c r="AL15">
        <f>_xlfn.XLOOKUP($A15,'2015-2016'!$B$4:$B$23,'2015-2016'!AM$4:AM$23)</f>
        <v>24631</v>
      </c>
      <c r="AM15">
        <f>_xlfn.XLOOKUP($A15,'2015-2016'!$B$4:$B$23,'2015-2016'!AN$4:AN$23)</f>
        <v>0.05</v>
      </c>
      <c r="AN15">
        <f>_xlfn.XLOOKUP($A15,'2015-2016'!$B$4:$B$23,'2015-2016'!AO$4:AO$23)</f>
        <v>0</v>
      </c>
      <c r="AO15">
        <f>_xlfn.XLOOKUP($A15,'2015-2016'!$B$4:$B$23,'2015-2016'!AP$4:AP$23)</f>
        <v>0</v>
      </c>
      <c r="AP15">
        <f>_xlfn.XLOOKUP($A15,'2015-2016'!$B$4:$B$23,'2015-2016'!AQ$4:AQ$23)</f>
        <v>0</v>
      </c>
      <c r="AQ15">
        <f>_xlfn.XLOOKUP($A15,'2015-2016'!$B$4:$B$23,'2015-2016'!AR$4:AR$23)</f>
        <v>0</v>
      </c>
      <c r="AR15">
        <f>_xlfn.XLOOKUP($A15,'2015-2016'!$B$4:$B$23,'2015-2016'!AS$4:AS$23)</f>
        <v>0</v>
      </c>
      <c r="AS15" t="str">
        <f>_xlfn.XLOOKUP($A15,'2015-2016'!$B$4:$B$23,'2015-2016'!AT$4:AT$23)</f>
        <v>15/16</v>
      </c>
    </row>
    <row r="16" spans="1:45" x14ac:dyDescent="0.25">
      <c r="A16">
        <v>15</v>
      </c>
      <c r="B16" t="str">
        <f>_xlfn.XLOOKUP($A16,'2015-2016'!$B$4:$B$23,'2015-2016'!C$4:C$23)</f>
        <v>Crystal Palace</v>
      </c>
      <c r="C16">
        <f>_xlfn.XLOOKUP($A16,'2015-2016'!$B$4:$B$23,'2015-2016'!D$4:D$23)</f>
        <v>39</v>
      </c>
      <c r="D16">
        <f>_xlfn.XLOOKUP($A16,'2015-2016'!$B$4:$B$23,'2015-2016'!E$4:E$23)</f>
        <v>51</v>
      </c>
      <c r="E16">
        <f>_xlfn.XLOOKUP($A16,'2015-2016'!$B$4:$B$23,'2015-2016'!F$4:F$23)</f>
        <v>-12</v>
      </c>
      <c r="F16">
        <f>_xlfn.XLOOKUP($A16,'2015-2016'!$B$4:$B$23,'2015-2016'!G$4:G$23)</f>
        <v>8</v>
      </c>
      <c r="G16">
        <f>_xlfn.XLOOKUP($A16,'2015-2016'!$B$4:$B$23,'2015-2016'!H$4:H$23)</f>
        <v>60</v>
      </c>
      <c r="H16">
        <f>_xlfn.XLOOKUP($A16,'2015-2016'!$B$4:$B$23,'2015-2016'!I$4:I$23)</f>
        <v>2</v>
      </c>
      <c r="I16" t="str">
        <f>_xlfn.XLOOKUP($A16,'2015-2016'!$B$4:$B$23,'2015-2016'!J$4:J$23)</f>
        <v>NA</v>
      </c>
      <c r="J16" t="str">
        <f>_xlfn.XLOOKUP($A16,'2015-2016'!$B$4:$B$23,'2015-2016'!K$4:K$23)</f>
        <v>NA</v>
      </c>
      <c r="K16" t="str">
        <f>_xlfn.XLOOKUP($A16,'2015-2016'!$B$4:$B$23,'2015-2016'!L$4:L$23)</f>
        <v>NA</v>
      </c>
      <c r="L16">
        <f>_xlfn.XLOOKUP($A16,'2015-2016'!$B$4:$B$23,'2015-2016'!M$4:M$23)</f>
        <v>469</v>
      </c>
      <c r="M16">
        <f>_xlfn.XLOOKUP($A16,'2015-2016'!$B$4:$B$23,'2015-2016'!N$4:N$23)</f>
        <v>153</v>
      </c>
      <c r="N16">
        <f>_xlfn.XLOOKUP($A16,'2015-2016'!$B$4:$B$23,'2015-2016'!O$4:O$23)</f>
        <v>4</v>
      </c>
      <c r="O16">
        <f>_xlfn.XLOOKUP($A16,'2015-2016'!$B$4:$B$23,'2015-2016'!P$4:P$23)</f>
        <v>7</v>
      </c>
      <c r="P16">
        <f>_xlfn.XLOOKUP($A16,'2015-2016'!$B$4:$B$23,'2015-2016'!Q$4:Q$23)</f>
        <v>33</v>
      </c>
      <c r="Q16">
        <f>_xlfn.XLOOKUP($A16,'2015-2016'!$B$4:$B$23,'2015-2016'!R$4:R$23)</f>
        <v>6</v>
      </c>
      <c r="R16">
        <f>_xlfn.XLOOKUP($A16,'2015-2016'!$B$4:$B$23,'2015-2016'!S$4:S$23)</f>
        <v>0</v>
      </c>
      <c r="S16">
        <f>_xlfn.XLOOKUP($A16,'2015-2016'!$B$4:$B$23,'2015-2016'!T$4:T$23)</f>
        <v>81</v>
      </c>
      <c r="T16">
        <f>_xlfn.XLOOKUP($A16,'2015-2016'!$B$4:$B$23,'2015-2016'!U$4:U$23)</f>
        <v>4</v>
      </c>
      <c r="U16">
        <f>_xlfn.XLOOKUP($A16,'2015-2016'!$B$4:$B$23,'2015-2016'!V$4:V$23)</f>
        <v>4</v>
      </c>
      <c r="V16">
        <f>_xlfn.XLOOKUP($A16,'2015-2016'!$B$4:$B$23,'2015-2016'!W$4:W$23)</f>
        <v>122</v>
      </c>
      <c r="W16">
        <f>_xlfn.XLOOKUP($A16,'2015-2016'!$B$4:$B$23,'2015-2016'!X$4:X$23)</f>
        <v>963</v>
      </c>
      <c r="X16">
        <f>_xlfn.XLOOKUP($A16,'2015-2016'!$B$4:$B$23,'2015-2016'!Y$4:Y$23)</f>
        <v>649</v>
      </c>
      <c r="Y16">
        <f>_xlfn.XLOOKUP($A16,'2015-2016'!$B$4:$B$23,'2015-2016'!Z$4:Z$23)</f>
        <v>465</v>
      </c>
      <c r="Z16">
        <f>_xlfn.XLOOKUP($A16,'2015-2016'!$B$4:$B$23,'2015-2016'!AA$4:AA$23)</f>
        <v>13785</v>
      </c>
      <c r="AA16">
        <f>_xlfn.XLOOKUP($A16,'2015-2016'!$B$4:$B$23,'2015-2016'!AB$4:AB$23)</f>
        <v>16</v>
      </c>
      <c r="AB16">
        <f>_xlfn.XLOOKUP($A16,'2015-2016'!$B$4:$B$23,'2015-2016'!AC$4:AC$23)</f>
        <v>2185</v>
      </c>
      <c r="AC16">
        <f>_xlfn.XLOOKUP($A16,'2015-2016'!$B$4:$B$23,'2015-2016'!AD$4:AD$23)</f>
        <v>969</v>
      </c>
      <c r="AD16">
        <f>_xlfn.XLOOKUP($A16,'2015-2016'!$B$4:$B$23,'2015-2016'!AE$4:AE$23)</f>
        <v>219</v>
      </c>
      <c r="AE16">
        <f>_xlfn.XLOOKUP($A16,'2015-2016'!$B$4:$B$23,'2015-2016'!AF$4:AF$23)</f>
        <v>28.8</v>
      </c>
      <c r="AF16">
        <f>_xlfn.XLOOKUP($A16,'2015-2016'!$B$4:$B$23,'2015-2016'!AG$4:AG$23)</f>
        <v>5.4</v>
      </c>
      <c r="AG16">
        <f>_xlfn.XLOOKUP($A16,'2015-2016'!$B$4:$B$23,'2015-2016'!AH$4:AH$23)</f>
        <v>19</v>
      </c>
      <c r="AH16">
        <f>_xlfn.XLOOKUP($A16,'2015-2016'!$B$4:$B$23,'2015-2016'!AI$4:AI$23)</f>
        <v>23</v>
      </c>
      <c r="AI16">
        <f>_xlfn.XLOOKUP($A16,'2015-2016'!$B$4:$B$23,'2015-2016'!AJ$4:AJ$23)</f>
        <v>135.69999999999999</v>
      </c>
      <c r="AJ16">
        <f>_xlfn.XLOOKUP($A16,'2015-2016'!$B$4:$B$23,'2015-2016'!AK$4:AK$23)</f>
        <v>38</v>
      </c>
      <c r="AK16">
        <f>_xlfn.XLOOKUP($A16,'2015-2016'!$B$4:$B$23,'2015-2016'!AL$4:AL$23)</f>
        <v>3.5710526315789473</v>
      </c>
      <c r="AL16">
        <f>_xlfn.XLOOKUP($A16,'2015-2016'!$B$4:$B$23,'2015-2016'!AM$4:AM$23)</f>
        <v>24825</v>
      </c>
      <c r="AM16">
        <f>_xlfn.XLOOKUP($A16,'2015-2016'!$B$4:$B$23,'2015-2016'!AN$4:AN$23)</f>
        <v>0.04</v>
      </c>
      <c r="AN16">
        <f>_xlfn.XLOOKUP($A16,'2015-2016'!$B$4:$B$23,'2015-2016'!AO$4:AO$23)</f>
        <v>0</v>
      </c>
      <c r="AO16">
        <f>_xlfn.XLOOKUP($A16,'2015-2016'!$B$4:$B$23,'2015-2016'!AP$4:AP$23)</f>
        <v>0</v>
      </c>
      <c r="AP16">
        <f>_xlfn.XLOOKUP($A16,'2015-2016'!$B$4:$B$23,'2015-2016'!AQ$4:AQ$23)</f>
        <v>0</v>
      </c>
      <c r="AQ16">
        <f>_xlfn.XLOOKUP($A16,'2015-2016'!$B$4:$B$23,'2015-2016'!AR$4:AR$23)</f>
        <v>0</v>
      </c>
      <c r="AR16">
        <f>_xlfn.XLOOKUP($A16,'2015-2016'!$B$4:$B$23,'2015-2016'!AS$4:AS$23)</f>
        <v>0</v>
      </c>
      <c r="AS16" t="str">
        <f>_xlfn.XLOOKUP($A16,'2015-2016'!$B$4:$B$23,'2015-2016'!AT$4:AT$23)</f>
        <v>15/16</v>
      </c>
    </row>
    <row r="17" spans="1:45" x14ac:dyDescent="0.25">
      <c r="A17">
        <v>16</v>
      </c>
      <c r="B17" t="str">
        <f>_xlfn.XLOOKUP($A17,'2015-2016'!$B$4:$B$23,'2015-2016'!C$4:C$23)</f>
        <v>AFC Bournemouth</v>
      </c>
      <c r="C17">
        <f>_xlfn.XLOOKUP($A17,'2015-2016'!$B$4:$B$23,'2015-2016'!D$4:D$23)</f>
        <v>45</v>
      </c>
      <c r="D17">
        <f>_xlfn.XLOOKUP($A17,'2015-2016'!$B$4:$B$23,'2015-2016'!E$4:E$23)</f>
        <v>67</v>
      </c>
      <c r="E17">
        <f>_xlfn.XLOOKUP($A17,'2015-2016'!$B$4:$B$23,'2015-2016'!F$4:F$23)</f>
        <v>-22</v>
      </c>
      <c r="F17">
        <f>_xlfn.XLOOKUP($A17,'2015-2016'!$B$4:$B$23,'2015-2016'!G$4:G$23)</f>
        <v>7</v>
      </c>
      <c r="G17">
        <f>_xlfn.XLOOKUP($A17,'2015-2016'!$B$4:$B$23,'2015-2016'!H$4:H$23)</f>
        <v>53</v>
      </c>
      <c r="H17">
        <f>_xlfn.XLOOKUP($A17,'2015-2016'!$B$4:$B$23,'2015-2016'!I$4:I$23)</f>
        <v>1</v>
      </c>
      <c r="I17" t="str">
        <f>_xlfn.XLOOKUP($A17,'2015-2016'!$B$4:$B$23,'2015-2016'!J$4:J$23)</f>
        <v>NA</v>
      </c>
      <c r="J17" t="str">
        <f>_xlfn.XLOOKUP($A17,'2015-2016'!$B$4:$B$23,'2015-2016'!K$4:K$23)</f>
        <v>NA</v>
      </c>
      <c r="K17" t="str">
        <f>_xlfn.XLOOKUP($A17,'2015-2016'!$B$4:$B$23,'2015-2016'!L$4:L$23)</f>
        <v>NA</v>
      </c>
      <c r="L17">
        <f>_xlfn.XLOOKUP($A17,'2015-2016'!$B$4:$B$23,'2015-2016'!M$4:M$23)</f>
        <v>464</v>
      </c>
      <c r="M17">
        <f>_xlfn.XLOOKUP($A17,'2015-2016'!$B$4:$B$23,'2015-2016'!N$4:N$23)</f>
        <v>143</v>
      </c>
      <c r="N17">
        <f>_xlfn.XLOOKUP($A17,'2015-2016'!$B$4:$B$23,'2015-2016'!O$4:O$23)</f>
        <v>3</v>
      </c>
      <c r="O17">
        <f>_xlfn.XLOOKUP($A17,'2015-2016'!$B$4:$B$23,'2015-2016'!P$4:P$23)</f>
        <v>11</v>
      </c>
      <c r="P17">
        <f>_xlfn.XLOOKUP($A17,'2015-2016'!$B$4:$B$23,'2015-2016'!Q$4:Q$23)</f>
        <v>39</v>
      </c>
      <c r="Q17">
        <f>_xlfn.XLOOKUP($A17,'2015-2016'!$B$4:$B$23,'2015-2016'!R$4:R$23)</f>
        <v>6</v>
      </c>
      <c r="R17">
        <f>_xlfn.XLOOKUP($A17,'2015-2016'!$B$4:$B$23,'2015-2016'!S$4:S$23)</f>
        <v>0</v>
      </c>
      <c r="S17">
        <f>_xlfn.XLOOKUP($A17,'2015-2016'!$B$4:$B$23,'2015-2016'!T$4:T$23)</f>
        <v>66</v>
      </c>
      <c r="T17">
        <f>_xlfn.XLOOKUP($A17,'2015-2016'!$B$4:$B$23,'2015-2016'!U$4:U$23)</f>
        <v>0</v>
      </c>
      <c r="U17">
        <f>_xlfn.XLOOKUP($A17,'2015-2016'!$B$4:$B$23,'2015-2016'!V$4:V$23)</f>
        <v>6</v>
      </c>
      <c r="V17">
        <f>_xlfn.XLOOKUP($A17,'2015-2016'!$B$4:$B$23,'2015-2016'!W$4:W$23)</f>
        <v>90</v>
      </c>
      <c r="W17">
        <f>_xlfn.XLOOKUP($A17,'2015-2016'!$B$4:$B$23,'2015-2016'!X$4:X$23)</f>
        <v>951</v>
      </c>
      <c r="X17">
        <f>_xlfn.XLOOKUP($A17,'2015-2016'!$B$4:$B$23,'2015-2016'!Y$4:Y$23)</f>
        <v>709</v>
      </c>
      <c r="Y17">
        <f>_xlfn.XLOOKUP($A17,'2015-2016'!$B$4:$B$23,'2015-2016'!Z$4:Z$23)</f>
        <v>361</v>
      </c>
      <c r="Z17">
        <f>_xlfn.XLOOKUP($A17,'2015-2016'!$B$4:$B$23,'2015-2016'!AA$4:AA$23)</f>
        <v>17270</v>
      </c>
      <c r="AA17">
        <f>_xlfn.XLOOKUP($A17,'2015-2016'!$B$4:$B$23,'2015-2016'!AB$4:AB$23)</f>
        <v>33</v>
      </c>
      <c r="AB17">
        <f>_xlfn.XLOOKUP($A17,'2015-2016'!$B$4:$B$23,'2015-2016'!AC$4:AC$23)</f>
        <v>2451</v>
      </c>
      <c r="AC17">
        <f>_xlfn.XLOOKUP($A17,'2015-2016'!$B$4:$B$23,'2015-2016'!AD$4:AD$23)</f>
        <v>749</v>
      </c>
      <c r="AD17">
        <f>_xlfn.XLOOKUP($A17,'2015-2016'!$B$4:$B$23,'2015-2016'!AE$4:AE$23)</f>
        <v>221</v>
      </c>
      <c r="AE17">
        <f>_xlfn.XLOOKUP($A17,'2015-2016'!$B$4:$B$23,'2015-2016'!AF$4:AF$23)</f>
        <v>55.11</v>
      </c>
      <c r="AF17">
        <f>_xlfn.XLOOKUP($A17,'2015-2016'!$B$4:$B$23,'2015-2016'!AG$4:AG$23)</f>
        <v>0.65</v>
      </c>
      <c r="AG17">
        <f>_xlfn.XLOOKUP($A17,'2015-2016'!$B$4:$B$23,'2015-2016'!AH$4:AH$23)</f>
        <v>36</v>
      </c>
      <c r="AH17">
        <f>_xlfn.XLOOKUP($A17,'2015-2016'!$B$4:$B$23,'2015-2016'!AI$4:AI$23)</f>
        <v>33</v>
      </c>
      <c r="AI17">
        <f>_xlfn.XLOOKUP($A17,'2015-2016'!$B$4:$B$23,'2015-2016'!AJ$4:AJ$23)</f>
        <v>99.9</v>
      </c>
      <c r="AJ17">
        <f>_xlfn.XLOOKUP($A17,'2015-2016'!$B$4:$B$23,'2015-2016'!AK$4:AK$23)</f>
        <v>49</v>
      </c>
      <c r="AK17">
        <f>_xlfn.XLOOKUP($A17,'2015-2016'!$B$4:$B$23,'2015-2016'!AL$4:AL$23)</f>
        <v>2.0387755102040819</v>
      </c>
      <c r="AL17">
        <f>_xlfn.XLOOKUP($A17,'2015-2016'!$B$4:$B$23,'2015-2016'!AM$4:AM$23)</f>
        <v>11189</v>
      </c>
      <c r="AM17">
        <f>_xlfn.XLOOKUP($A17,'2015-2016'!$B$4:$B$23,'2015-2016'!AN$4:AN$23)</f>
        <v>0.01</v>
      </c>
      <c r="AN17">
        <f>_xlfn.XLOOKUP($A17,'2015-2016'!$B$4:$B$23,'2015-2016'!AO$4:AO$23)</f>
        <v>0</v>
      </c>
      <c r="AO17">
        <f>_xlfn.XLOOKUP($A17,'2015-2016'!$B$4:$B$23,'2015-2016'!AP$4:AP$23)</f>
        <v>1</v>
      </c>
      <c r="AP17">
        <f>_xlfn.XLOOKUP($A17,'2015-2016'!$B$4:$B$23,'2015-2016'!AQ$4:AQ$23)</f>
        <v>0</v>
      </c>
      <c r="AQ17">
        <f>_xlfn.XLOOKUP($A17,'2015-2016'!$B$4:$B$23,'2015-2016'!AR$4:AR$23)</f>
        <v>0</v>
      </c>
      <c r="AR17">
        <f>_xlfn.XLOOKUP($A17,'2015-2016'!$B$4:$B$23,'2015-2016'!AS$4:AS$23)</f>
        <v>0</v>
      </c>
      <c r="AS17" t="str">
        <f>_xlfn.XLOOKUP($A17,'2015-2016'!$B$4:$B$23,'2015-2016'!AT$4:AT$23)</f>
        <v>15/16</v>
      </c>
    </row>
    <row r="18" spans="1:45" x14ac:dyDescent="0.25">
      <c r="A18">
        <v>17</v>
      </c>
      <c r="B18" t="str">
        <f>_xlfn.XLOOKUP($A18,'2015-2016'!$B$4:$B$23,'2015-2016'!C$4:C$23)</f>
        <v>Sunderland</v>
      </c>
      <c r="C18">
        <f>_xlfn.XLOOKUP($A18,'2015-2016'!$B$4:$B$23,'2015-2016'!D$4:D$23)</f>
        <v>48</v>
      </c>
      <c r="D18">
        <f>_xlfn.XLOOKUP($A18,'2015-2016'!$B$4:$B$23,'2015-2016'!E$4:E$23)</f>
        <v>62</v>
      </c>
      <c r="E18">
        <f>_xlfn.XLOOKUP($A18,'2015-2016'!$B$4:$B$23,'2015-2016'!F$4:F$23)</f>
        <v>-14</v>
      </c>
      <c r="F18">
        <f>_xlfn.XLOOKUP($A18,'2015-2016'!$B$4:$B$23,'2015-2016'!G$4:G$23)</f>
        <v>7</v>
      </c>
      <c r="G18">
        <f>_xlfn.XLOOKUP($A18,'2015-2016'!$B$4:$B$23,'2015-2016'!H$4:H$23)</f>
        <v>64</v>
      </c>
      <c r="H18">
        <f>_xlfn.XLOOKUP($A18,'2015-2016'!$B$4:$B$23,'2015-2016'!I$4:I$23)</f>
        <v>2</v>
      </c>
      <c r="I18" t="str">
        <f>_xlfn.XLOOKUP($A18,'2015-2016'!$B$4:$B$23,'2015-2016'!J$4:J$23)</f>
        <v>NA</v>
      </c>
      <c r="J18" t="str">
        <f>_xlfn.XLOOKUP($A18,'2015-2016'!$B$4:$B$23,'2015-2016'!K$4:K$23)</f>
        <v>NA</v>
      </c>
      <c r="K18" t="str">
        <f>_xlfn.XLOOKUP($A18,'2015-2016'!$B$4:$B$23,'2015-2016'!L$4:L$23)</f>
        <v>NA</v>
      </c>
      <c r="L18">
        <f>_xlfn.XLOOKUP($A18,'2015-2016'!$B$4:$B$23,'2015-2016'!M$4:M$23)</f>
        <v>439</v>
      </c>
      <c r="M18">
        <f>_xlfn.XLOOKUP($A18,'2015-2016'!$B$4:$B$23,'2015-2016'!N$4:N$23)</f>
        <v>141</v>
      </c>
      <c r="N18">
        <f>_xlfn.XLOOKUP($A18,'2015-2016'!$B$4:$B$23,'2015-2016'!O$4:O$23)</f>
        <v>3</v>
      </c>
      <c r="O18">
        <f>_xlfn.XLOOKUP($A18,'2015-2016'!$B$4:$B$23,'2015-2016'!P$4:P$23)</f>
        <v>2</v>
      </c>
      <c r="P18">
        <f>_xlfn.XLOOKUP($A18,'2015-2016'!$B$4:$B$23,'2015-2016'!Q$4:Q$23)</f>
        <v>40</v>
      </c>
      <c r="Q18">
        <f>_xlfn.XLOOKUP($A18,'2015-2016'!$B$4:$B$23,'2015-2016'!R$4:R$23)</f>
        <v>8</v>
      </c>
      <c r="R18">
        <f>_xlfn.XLOOKUP($A18,'2015-2016'!$B$4:$B$23,'2015-2016'!S$4:S$23)</f>
        <v>2</v>
      </c>
      <c r="S18">
        <f>_xlfn.XLOOKUP($A18,'2015-2016'!$B$4:$B$23,'2015-2016'!T$4:T$23)</f>
        <v>88</v>
      </c>
      <c r="T18">
        <f>_xlfn.XLOOKUP($A18,'2015-2016'!$B$4:$B$23,'2015-2016'!U$4:U$23)</f>
        <v>1</v>
      </c>
      <c r="U18">
        <f>_xlfn.XLOOKUP($A18,'2015-2016'!$B$4:$B$23,'2015-2016'!V$4:V$23)</f>
        <v>8</v>
      </c>
      <c r="V18">
        <f>_xlfn.XLOOKUP($A18,'2015-2016'!$B$4:$B$23,'2015-2016'!W$4:W$23)</f>
        <v>156</v>
      </c>
      <c r="W18">
        <f>_xlfn.XLOOKUP($A18,'2015-2016'!$B$4:$B$23,'2015-2016'!X$4:X$23)</f>
        <v>1277</v>
      </c>
      <c r="X18">
        <f>_xlfn.XLOOKUP($A18,'2015-2016'!$B$4:$B$23,'2015-2016'!Y$4:Y$23)</f>
        <v>767</v>
      </c>
      <c r="Y18">
        <f>_xlfn.XLOOKUP($A18,'2015-2016'!$B$4:$B$23,'2015-2016'!Z$4:Z$23)</f>
        <v>484</v>
      </c>
      <c r="Z18">
        <f>_xlfn.XLOOKUP($A18,'2015-2016'!$B$4:$B$23,'2015-2016'!AA$4:AA$23)</f>
        <v>12799</v>
      </c>
      <c r="AA18">
        <f>_xlfn.XLOOKUP($A18,'2015-2016'!$B$4:$B$23,'2015-2016'!AB$4:AB$23)</f>
        <v>57</v>
      </c>
      <c r="AB18">
        <f>_xlfn.XLOOKUP($A18,'2015-2016'!$B$4:$B$23,'2015-2016'!AC$4:AC$23)</f>
        <v>1841</v>
      </c>
      <c r="AC18">
        <f>_xlfn.XLOOKUP($A18,'2015-2016'!$B$4:$B$23,'2015-2016'!AD$4:AD$23)</f>
        <v>589</v>
      </c>
      <c r="AD18">
        <f>_xlfn.XLOOKUP($A18,'2015-2016'!$B$4:$B$23,'2015-2016'!AE$4:AE$23)</f>
        <v>153</v>
      </c>
      <c r="AE18">
        <f>_xlfn.XLOOKUP($A18,'2015-2016'!$B$4:$B$23,'2015-2016'!AF$4:AF$23)</f>
        <v>66.05</v>
      </c>
      <c r="AF18">
        <f>_xlfn.XLOOKUP($A18,'2015-2016'!$B$4:$B$23,'2015-2016'!AG$4:AG$23)</f>
        <v>52.7</v>
      </c>
      <c r="AG18">
        <f>_xlfn.XLOOKUP($A18,'2015-2016'!$B$4:$B$23,'2015-2016'!AH$4:AH$23)</f>
        <v>29</v>
      </c>
      <c r="AH18">
        <f>_xlfn.XLOOKUP($A18,'2015-2016'!$B$4:$B$23,'2015-2016'!AI$4:AI$23)</f>
        <v>25</v>
      </c>
      <c r="AI18">
        <f>_xlfn.XLOOKUP($A18,'2015-2016'!$B$4:$B$23,'2015-2016'!AJ$4:AJ$23)</f>
        <v>111.25</v>
      </c>
      <c r="AJ18">
        <f>_xlfn.XLOOKUP($A18,'2015-2016'!$B$4:$B$23,'2015-2016'!AK$4:AK$23)</f>
        <v>42</v>
      </c>
      <c r="AK18">
        <f>_xlfn.XLOOKUP($A18,'2015-2016'!$B$4:$B$23,'2015-2016'!AL$4:AL$23)</f>
        <v>2.6488095238095237</v>
      </c>
      <c r="AL18">
        <f>_xlfn.XLOOKUP($A18,'2015-2016'!$B$4:$B$23,'2015-2016'!AM$4:AM$23)</f>
        <v>43071</v>
      </c>
      <c r="AM18">
        <f>_xlfn.XLOOKUP($A18,'2015-2016'!$B$4:$B$23,'2015-2016'!AN$4:AN$23)</f>
        <v>0.16</v>
      </c>
      <c r="AN18">
        <f>_xlfn.XLOOKUP($A18,'2015-2016'!$B$4:$B$23,'2015-2016'!AO$4:AO$23)</f>
        <v>0</v>
      </c>
      <c r="AO18">
        <f>_xlfn.XLOOKUP($A18,'2015-2016'!$B$4:$B$23,'2015-2016'!AP$4:AP$23)</f>
        <v>0</v>
      </c>
      <c r="AP18">
        <f>_xlfn.XLOOKUP($A18,'2015-2016'!$B$4:$B$23,'2015-2016'!AQ$4:AQ$23)</f>
        <v>0</v>
      </c>
      <c r="AQ18">
        <f>_xlfn.XLOOKUP($A18,'2015-2016'!$B$4:$B$23,'2015-2016'!AR$4:AR$23)</f>
        <v>0</v>
      </c>
      <c r="AR18">
        <f>_xlfn.XLOOKUP($A18,'2015-2016'!$B$4:$B$23,'2015-2016'!AS$4:AS$23)</f>
        <v>0</v>
      </c>
      <c r="AS18" t="str">
        <f>_xlfn.XLOOKUP($A18,'2015-2016'!$B$4:$B$23,'2015-2016'!AT$4:AT$23)</f>
        <v>15/16</v>
      </c>
    </row>
    <row r="19" spans="1:45" x14ac:dyDescent="0.25">
      <c r="A19">
        <v>18</v>
      </c>
      <c r="B19" t="str">
        <f>_xlfn.XLOOKUP($A19,'2015-2016'!$B$4:$B$23,'2015-2016'!C$4:C$23)</f>
        <v>Newcastle United</v>
      </c>
      <c r="C19">
        <f>_xlfn.XLOOKUP($A19,'2015-2016'!$B$4:$B$23,'2015-2016'!D$4:D$23)</f>
        <v>44</v>
      </c>
      <c r="D19">
        <f>_xlfn.XLOOKUP($A19,'2015-2016'!$B$4:$B$23,'2015-2016'!E$4:E$23)</f>
        <v>65</v>
      </c>
      <c r="E19">
        <f>_xlfn.XLOOKUP($A19,'2015-2016'!$B$4:$B$23,'2015-2016'!F$4:F$23)</f>
        <v>-21</v>
      </c>
      <c r="F19">
        <f>_xlfn.XLOOKUP($A19,'2015-2016'!$B$4:$B$23,'2015-2016'!G$4:G$23)</f>
        <v>8</v>
      </c>
      <c r="G19">
        <f>_xlfn.XLOOKUP($A19,'2015-2016'!$B$4:$B$23,'2015-2016'!H$4:H$23)</f>
        <v>60</v>
      </c>
      <c r="H19">
        <f>_xlfn.XLOOKUP($A19,'2015-2016'!$B$4:$B$23,'2015-2016'!I$4:I$23)</f>
        <v>5</v>
      </c>
      <c r="I19" t="str">
        <f>_xlfn.XLOOKUP($A19,'2015-2016'!$B$4:$B$23,'2015-2016'!J$4:J$23)</f>
        <v>NA</v>
      </c>
      <c r="J19" t="str">
        <f>_xlfn.XLOOKUP($A19,'2015-2016'!$B$4:$B$23,'2015-2016'!K$4:K$23)</f>
        <v>NA</v>
      </c>
      <c r="K19" t="str">
        <f>_xlfn.XLOOKUP($A19,'2015-2016'!$B$4:$B$23,'2015-2016'!L$4:L$23)</f>
        <v>NA</v>
      </c>
      <c r="L19">
        <f>_xlfn.XLOOKUP($A19,'2015-2016'!$B$4:$B$23,'2015-2016'!M$4:M$23)</f>
        <v>397</v>
      </c>
      <c r="M19">
        <f>_xlfn.XLOOKUP($A19,'2015-2016'!$B$4:$B$23,'2015-2016'!N$4:N$23)</f>
        <v>151</v>
      </c>
      <c r="N19">
        <f>_xlfn.XLOOKUP($A19,'2015-2016'!$B$4:$B$23,'2015-2016'!O$4:O$23)</f>
        <v>3</v>
      </c>
      <c r="O19">
        <f>_xlfn.XLOOKUP($A19,'2015-2016'!$B$4:$B$23,'2015-2016'!P$4:P$23)</f>
        <v>12</v>
      </c>
      <c r="P19">
        <f>_xlfn.XLOOKUP($A19,'2015-2016'!$B$4:$B$23,'2015-2016'!Q$4:Q$23)</f>
        <v>38</v>
      </c>
      <c r="Q19">
        <f>_xlfn.XLOOKUP($A19,'2015-2016'!$B$4:$B$23,'2015-2016'!R$4:R$23)</f>
        <v>6</v>
      </c>
      <c r="R19">
        <f>_xlfn.XLOOKUP($A19,'2015-2016'!$B$4:$B$23,'2015-2016'!S$4:S$23)</f>
        <v>4</v>
      </c>
      <c r="S19">
        <f>_xlfn.XLOOKUP($A19,'2015-2016'!$B$4:$B$23,'2015-2016'!T$4:T$23)</f>
        <v>59</v>
      </c>
      <c r="T19">
        <f>_xlfn.XLOOKUP($A19,'2015-2016'!$B$4:$B$23,'2015-2016'!U$4:U$23)</f>
        <v>2</v>
      </c>
      <c r="U19">
        <f>_xlfn.XLOOKUP($A19,'2015-2016'!$B$4:$B$23,'2015-2016'!V$4:V$23)</f>
        <v>5</v>
      </c>
      <c r="V19">
        <f>_xlfn.XLOOKUP($A19,'2015-2016'!$B$4:$B$23,'2015-2016'!W$4:W$23)</f>
        <v>115</v>
      </c>
      <c r="W19">
        <f>_xlfn.XLOOKUP($A19,'2015-2016'!$B$4:$B$23,'2015-2016'!X$4:X$23)</f>
        <v>939</v>
      </c>
      <c r="X19">
        <f>_xlfn.XLOOKUP($A19,'2015-2016'!$B$4:$B$23,'2015-2016'!Y$4:Y$23)</f>
        <v>793</v>
      </c>
      <c r="Y19">
        <f>_xlfn.XLOOKUP($A19,'2015-2016'!$B$4:$B$23,'2015-2016'!Z$4:Z$23)</f>
        <v>419</v>
      </c>
      <c r="Z19">
        <f>_xlfn.XLOOKUP($A19,'2015-2016'!$B$4:$B$23,'2015-2016'!AA$4:AA$23)</f>
        <v>15118</v>
      </c>
      <c r="AA19">
        <f>_xlfn.XLOOKUP($A19,'2015-2016'!$B$4:$B$23,'2015-2016'!AB$4:AB$23)</f>
        <v>28</v>
      </c>
      <c r="AB19">
        <f>_xlfn.XLOOKUP($A19,'2015-2016'!$B$4:$B$23,'2015-2016'!AC$4:AC$23)</f>
        <v>2357</v>
      </c>
      <c r="AC19">
        <f>_xlfn.XLOOKUP($A19,'2015-2016'!$B$4:$B$23,'2015-2016'!AD$4:AD$23)</f>
        <v>775</v>
      </c>
      <c r="AD19">
        <f>_xlfn.XLOOKUP($A19,'2015-2016'!$B$4:$B$23,'2015-2016'!AE$4:AE$23)</f>
        <v>161</v>
      </c>
      <c r="AE19">
        <f>_xlfn.XLOOKUP($A19,'2015-2016'!$B$4:$B$23,'2015-2016'!AF$4:AF$23)</f>
        <v>107.91</v>
      </c>
      <c r="AF19">
        <f>_xlfn.XLOOKUP($A19,'2015-2016'!$B$4:$B$23,'2015-2016'!AG$4:AG$23)</f>
        <v>5.43</v>
      </c>
      <c r="AG19">
        <f>_xlfn.XLOOKUP($A19,'2015-2016'!$B$4:$B$23,'2015-2016'!AH$4:AH$23)</f>
        <v>26</v>
      </c>
      <c r="AH19">
        <f>_xlfn.XLOOKUP($A19,'2015-2016'!$B$4:$B$23,'2015-2016'!AI$4:AI$23)</f>
        <v>23</v>
      </c>
      <c r="AI19">
        <f>_xlfn.XLOOKUP($A19,'2015-2016'!$B$4:$B$23,'2015-2016'!AJ$4:AJ$23)</f>
        <v>198</v>
      </c>
      <c r="AJ19">
        <f>_xlfn.XLOOKUP($A19,'2015-2016'!$B$4:$B$23,'2015-2016'!AK$4:AK$23)</f>
        <v>42</v>
      </c>
      <c r="AK19">
        <f>_xlfn.XLOOKUP($A19,'2015-2016'!$B$4:$B$23,'2015-2016'!AL$4:AL$23)</f>
        <v>4.7142857142857144</v>
      </c>
      <c r="AL19">
        <f>_xlfn.XLOOKUP($A19,'2015-2016'!$B$4:$B$23,'2015-2016'!AM$4:AM$23)</f>
        <v>49754</v>
      </c>
      <c r="AM19">
        <f>_xlfn.XLOOKUP($A19,'2015-2016'!$B$4:$B$23,'2015-2016'!AN$4:AN$23)</f>
        <v>0.36</v>
      </c>
      <c r="AN19">
        <f>_xlfn.XLOOKUP($A19,'2015-2016'!$B$4:$B$23,'2015-2016'!AO$4:AO$23)</f>
        <v>0</v>
      </c>
      <c r="AO19">
        <f>_xlfn.XLOOKUP($A19,'2015-2016'!$B$4:$B$23,'2015-2016'!AP$4:AP$23)</f>
        <v>0</v>
      </c>
      <c r="AP19">
        <f>_xlfn.XLOOKUP($A19,'2015-2016'!$B$4:$B$23,'2015-2016'!AQ$4:AQ$23)</f>
        <v>0</v>
      </c>
      <c r="AQ19">
        <f>_xlfn.XLOOKUP($A19,'2015-2016'!$B$4:$B$23,'2015-2016'!AR$4:AR$23)</f>
        <v>1</v>
      </c>
      <c r="AR19">
        <f>_xlfn.XLOOKUP($A19,'2015-2016'!$B$4:$B$23,'2015-2016'!AS$4:AS$23)</f>
        <v>0</v>
      </c>
      <c r="AS19" t="str">
        <f>_xlfn.XLOOKUP($A19,'2015-2016'!$B$4:$B$23,'2015-2016'!AT$4:AT$23)</f>
        <v>15/16</v>
      </c>
    </row>
    <row r="20" spans="1:45" x14ac:dyDescent="0.25">
      <c r="A20">
        <v>19</v>
      </c>
      <c r="B20" t="str">
        <f>_xlfn.XLOOKUP($A20,'2015-2016'!$B$4:$B$23,'2015-2016'!C$4:C$23)</f>
        <v>Norwich City</v>
      </c>
      <c r="C20">
        <f>_xlfn.XLOOKUP($A20,'2015-2016'!$B$4:$B$23,'2015-2016'!D$4:D$23)</f>
        <v>39</v>
      </c>
      <c r="D20">
        <f>_xlfn.XLOOKUP($A20,'2015-2016'!$B$4:$B$23,'2015-2016'!E$4:E$23)</f>
        <v>67</v>
      </c>
      <c r="E20">
        <f>_xlfn.XLOOKUP($A20,'2015-2016'!$B$4:$B$23,'2015-2016'!F$4:F$23)</f>
        <v>-28</v>
      </c>
      <c r="F20">
        <f>_xlfn.XLOOKUP($A20,'2015-2016'!$B$4:$B$23,'2015-2016'!G$4:G$23)</f>
        <v>5</v>
      </c>
      <c r="G20">
        <f>_xlfn.XLOOKUP($A20,'2015-2016'!$B$4:$B$23,'2015-2016'!H$4:H$23)</f>
        <v>61</v>
      </c>
      <c r="H20">
        <f>_xlfn.XLOOKUP($A20,'2015-2016'!$B$4:$B$23,'2015-2016'!I$4:I$23)</f>
        <v>3</v>
      </c>
      <c r="I20" t="str">
        <f>_xlfn.XLOOKUP($A20,'2015-2016'!$B$4:$B$23,'2015-2016'!J$4:J$23)</f>
        <v>NA</v>
      </c>
      <c r="J20" t="str">
        <f>_xlfn.XLOOKUP($A20,'2015-2016'!$B$4:$B$23,'2015-2016'!K$4:K$23)</f>
        <v>NA</v>
      </c>
      <c r="K20" t="str">
        <f>_xlfn.XLOOKUP($A20,'2015-2016'!$B$4:$B$23,'2015-2016'!L$4:L$23)</f>
        <v>NA</v>
      </c>
      <c r="L20">
        <f>_xlfn.XLOOKUP($A20,'2015-2016'!$B$4:$B$23,'2015-2016'!M$4:M$23)</f>
        <v>418</v>
      </c>
      <c r="M20">
        <f>_xlfn.XLOOKUP($A20,'2015-2016'!$B$4:$B$23,'2015-2016'!N$4:N$23)</f>
        <v>129</v>
      </c>
      <c r="N20">
        <f>_xlfn.XLOOKUP($A20,'2015-2016'!$B$4:$B$23,'2015-2016'!O$4:O$23)</f>
        <v>1</v>
      </c>
      <c r="O20">
        <f>_xlfn.XLOOKUP($A20,'2015-2016'!$B$4:$B$23,'2015-2016'!P$4:P$23)</f>
        <v>3</v>
      </c>
      <c r="P20">
        <f>_xlfn.XLOOKUP($A20,'2015-2016'!$B$4:$B$23,'2015-2016'!Q$4:Q$23)</f>
        <v>33</v>
      </c>
      <c r="Q20">
        <f>_xlfn.XLOOKUP($A20,'2015-2016'!$B$4:$B$23,'2015-2016'!R$4:R$23)</f>
        <v>6</v>
      </c>
      <c r="R20">
        <f>_xlfn.XLOOKUP($A20,'2015-2016'!$B$4:$B$23,'2015-2016'!S$4:S$23)</f>
        <v>0</v>
      </c>
      <c r="S20">
        <f>_xlfn.XLOOKUP($A20,'2015-2016'!$B$4:$B$23,'2015-2016'!T$4:T$23)</f>
        <v>93</v>
      </c>
      <c r="T20">
        <f>_xlfn.XLOOKUP($A20,'2015-2016'!$B$4:$B$23,'2015-2016'!U$4:U$23)</f>
        <v>2</v>
      </c>
      <c r="U20">
        <f>_xlfn.XLOOKUP($A20,'2015-2016'!$B$4:$B$23,'2015-2016'!V$4:V$23)</f>
        <v>10</v>
      </c>
      <c r="V20">
        <f>_xlfn.XLOOKUP($A20,'2015-2016'!$B$4:$B$23,'2015-2016'!W$4:W$23)</f>
        <v>103</v>
      </c>
      <c r="W20">
        <f>_xlfn.XLOOKUP($A20,'2015-2016'!$B$4:$B$23,'2015-2016'!X$4:X$23)</f>
        <v>1212</v>
      </c>
      <c r="X20">
        <f>_xlfn.XLOOKUP($A20,'2015-2016'!$B$4:$B$23,'2015-2016'!Y$4:Y$23)</f>
        <v>608</v>
      </c>
      <c r="Y20">
        <f>_xlfn.XLOOKUP($A20,'2015-2016'!$B$4:$B$23,'2015-2016'!Z$4:Z$23)</f>
        <v>431</v>
      </c>
      <c r="Z20">
        <f>_xlfn.XLOOKUP($A20,'2015-2016'!$B$4:$B$23,'2015-2016'!AA$4:AA$23)</f>
        <v>14483</v>
      </c>
      <c r="AA20">
        <f>_xlfn.XLOOKUP($A20,'2015-2016'!$B$4:$B$23,'2015-2016'!AB$4:AB$23)</f>
        <v>17</v>
      </c>
      <c r="AB20">
        <f>_xlfn.XLOOKUP($A20,'2015-2016'!$B$4:$B$23,'2015-2016'!AC$4:AC$23)</f>
        <v>2124</v>
      </c>
      <c r="AC20">
        <f>_xlfn.XLOOKUP($A20,'2015-2016'!$B$4:$B$23,'2015-2016'!AD$4:AD$23)</f>
        <v>818</v>
      </c>
      <c r="AD20">
        <f>_xlfn.XLOOKUP($A20,'2015-2016'!$B$4:$B$23,'2015-2016'!AE$4:AE$23)</f>
        <v>188</v>
      </c>
      <c r="AE20">
        <f>_xlfn.XLOOKUP($A20,'2015-2016'!$B$4:$B$23,'2015-2016'!AF$4:AF$23)</f>
        <v>50.5</v>
      </c>
      <c r="AF20">
        <f>_xlfn.XLOOKUP($A20,'2015-2016'!$B$4:$B$23,'2015-2016'!AG$4:AG$23)</f>
        <v>21.49</v>
      </c>
      <c r="AG20">
        <f>_xlfn.XLOOKUP($A20,'2015-2016'!$B$4:$B$23,'2015-2016'!AH$4:AH$23)</f>
        <v>33</v>
      </c>
      <c r="AH20">
        <f>_xlfn.XLOOKUP($A20,'2015-2016'!$B$4:$B$23,'2015-2016'!AI$4:AI$23)</f>
        <v>30</v>
      </c>
      <c r="AI20">
        <f>_xlfn.XLOOKUP($A20,'2015-2016'!$B$4:$B$23,'2015-2016'!AJ$4:AJ$23)</f>
        <v>116.9</v>
      </c>
      <c r="AJ20">
        <f>_xlfn.XLOOKUP($A20,'2015-2016'!$B$4:$B$23,'2015-2016'!AK$4:AK$23)</f>
        <v>41</v>
      </c>
      <c r="AK20">
        <f>_xlfn.XLOOKUP($A20,'2015-2016'!$B$4:$B$23,'2015-2016'!AL$4:AL$23)</f>
        <v>2.8512195121951223</v>
      </c>
      <c r="AL20">
        <f>_xlfn.XLOOKUP($A20,'2015-2016'!$B$4:$B$23,'2015-2016'!AM$4:AM$23)</f>
        <v>26972</v>
      </c>
      <c r="AM20">
        <f>_xlfn.XLOOKUP($A20,'2015-2016'!$B$4:$B$23,'2015-2016'!AN$4:AN$23)</f>
        <v>0.22</v>
      </c>
      <c r="AN20">
        <f>_xlfn.XLOOKUP($A20,'2015-2016'!$B$4:$B$23,'2015-2016'!AO$4:AO$23)</f>
        <v>0</v>
      </c>
      <c r="AO20">
        <f>_xlfn.XLOOKUP($A20,'2015-2016'!$B$4:$B$23,'2015-2016'!AP$4:AP$23)</f>
        <v>1</v>
      </c>
      <c r="AP20">
        <f>_xlfn.XLOOKUP($A20,'2015-2016'!$B$4:$B$23,'2015-2016'!AQ$4:AQ$23)</f>
        <v>0</v>
      </c>
      <c r="AQ20">
        <f>_xlfn.XLOOKUP($A20,'2015-2016'!$B$4:$B$23,'2015-2016'!AR$4:AR$23)</f>
        <v>1</v>
      </c>
      <c r="AR20">
        <f>_xlfn.XLOOKUP($A20,'2015-2016'!$B$4:$B$23,'2015-2016'!AS$4:AS$23)</f>
        <v>0</v>
      </c>
      <c r="AS20" t="str">
        <f>_xlfn.XLOOKUP($A20,'2015-2016'!$B$4:$B$23,'2015-2016'!AT$4:AT$23)</f>
        <v>15/16</v>
      </c>
    </row>
    <row r="21" spans="1:45" x14ac:dyDescent="0.25">
      <c r="A21">
        <v>20</v>
      </c>
      <c r="B21" t="str">
        <f>_xlfn.XLOOKUP($A21,'2015-2016'!$B$4:$B$23,'2015-2016'!C$4:C$23)</f>
        <v>Aston Villa</v>
      </c>
      <c r="C21">
        <f>_xlfn.XLOOKUP($A21,'2015-2016'!$B$4:$B$23,'2015-2016'!D$4:D$23)</f>
        <v>27</v>
      </c>
      <c r="D21">
        <f>_xlfn.XLOOKUP($A21,'2015-2016'!$B$4:$B$23,'2015-2016'!E$4:E$23)</f>
        <v>76</v>
      </c>
      <c r="E21">
        <f>_xlfn.XLOOKUP($A21,'2015-2016'!$B$4:$B$23,'2015-2016'!F$4:F$23)</f>
        <v>-49</v>
      </c>
      <c r="F21">
        <f>_xlfn.XLOOKUP($A21,'2015-2016'!$B$4:$B$23,'2015-2016'!G$4:G$23)</f>
        <v>6</v>
      </c>
      <c r="G21">
        <f>_xlfn.XLOOKUP($A21,'2015-2016'!$B$4:$B$23,'2015-2016'!H$4:H$23)</f>
        <v>75</v>
      </c>
      <c r="H21">
        <f>_xlfn.XLOOKUP($A21,'2015-2016'!$B$4:$B$23,'2015-2016'!I$4:I$23)</f>
        <v>3</v>
      </c>
      <c r="I21" t="str">
        <f>_xlfn.XLOOKUP($A21,'2015-2016'!$B$4:$B$23,'2015-2016'!J$4:J$23)</f>
        <v>NA</v>
      </c>
      <c r="J21" t="str">
        <f>_xlfn.XLOOKUP($A21,'2015-2016'!$B$4:$B$23,'2015-2016'!K$4:K$23)</f>
        <v>NA</v>
      </c>
      <c r="K21" t="str">
        <f>_xlfn.XLOOKUP($A21,'2015-2016'!$B$4:$B$23,'2015-2016'!L$4:L$23)</f>
        <v>NA</v>
      </c>
      <c r="L21">
        <f>_xlfn.XLOOKUP($A21,'2015-2016'!$B$4:$B$23,'2015-2016'!M$4:M$23)</f>
        <v>380</v>
      </c>
      <c r="M21">
        <f>_xlfn.XLOOKUP($A21,'2015-2016'!$B$4:$B$23,'2015-2016'!N$4:N$23)</f>
        <v>110</v>
      </c>
      <c r="N21">
        <f>_xlfn.XLOOKUP($A21,'2015-2016'!$B$4:$B$23,'2015-2016'!O$4:O$23)</f>
        <v>2</v>
      </c>
      <c r="O21">
        <f>_xlfn.XLOOKUP($A21,'2015-2016'!$B$4:$B$23,'2015-2016'!P$4:P$23)</f>
        <v>6</v>
      </c>
      <c r="P21">
        <f>_xlfn.XLOOKUP($A21,'2015-2016'!$B$4:$B$23,'2015-2016'!Q$4:Q$23)</f>
        <v>21</v>
      </c>
      <c r="Q21">
        <f>_xlfn.XLOOKUP($A21,'2015-2016'!$B$4:$B$23,'2015-2016'!R$4:R$23)</f>
        <v>6</v>
      </c>
      <c r="R21">
        <f>_xlfn.XLOOKUP($A21,'2015-2016'!$B$4:$B$23,'2015-2016'!S$4:S$23)</f>
        <v>1</v>
      </c>
      <c r="S21">
        <f>_xlfn.XLOOKUP($A21,'2015-2016'!$B$4:$B$23,'2015-2016'!T$4:T$23)</f>
        <v>42</v>
      </c>
      <c r="T21">
        <f>_xlfn.XLOOKUP($A21,'2015-2016'!$B$4:$B$23,'2015-2016'!U$4:U$23)</f>
        <v>4</v>
      </c>
      <c r="U21">
        <f>_xlfn.XLOOKUP($A21,'2015-2016'!$B$4:$B$23,'2015-2016'!V$4:V$23)</f>
        <v>5</v>
      </c>
      <c r="V21">
        <f>_xlfn.XLOOKUP($A21,'2015-2016'!$B$4:$B$23,'2015-2016'!W$4:W$23)</f>
        <v>116</v>
      </c>
      <c r="W21">
        <f>_xlfn.XLOOKUP($A21,'2015-2016'!$B$4:$B$23,'2015-2016'!X$4:X$23)</f>
        <v>973</v>
      </c>
      <c r="X21">
        <f>_xlfn.XLOOKUP($A21,'2015-2016'!$B$4:$B$23,'2015-2016'!Y$4:Y$23)</f>
        <v>731</v>
      </c>
      <c r="Y21">
        <f>_xlfn.XLOOKUP($A21,'2015-2016'!$B$4:$B$23,'2015-2016'!Z$4:Z$23)</f>
        <v>429</v>
      </c>
      <c r="Z21">
        <f>_xlfn.XLOOKUP($A21,'2015-2016'!$B$4:$B$23,'2015-2016'!AA$4:AA$23)</f>
        <v>15308</v>
      </c>
      <c r="AA21">
        <f>_xlfn.XLOOKUP($A21,'2015-2016'!$B$4:$B$23,'2015-2016'!AB$4:AB$23)</f>
        <v>12</v>
      </c>
      <c r="AB21">
        <f>_xlfn.XLOOKUP($A21,'2015-2016'!$B$4:$B$23,'2015-2016'!AC$4:AC$23)</f>
        <v>2269</v>
      </c>
      <c r="AC21">
        <f>_xlfn.XLOOKUP($A21,'2015-2016'!$B$4:$B$23,'2015-2016'!AD$4:AD$23)</f>
        <v>796</v>
      </c>
      <c r="AD21">
        <f>_xlfn.XLOOKUP($A21,'2015-2016'!$B$4:$B$23,'2015-2016'!AE$4:AE$23)</f>
        <v>167</v>
      </c>
      <c r="AE21">
        <f>_xlfn.XLOOKUP($A21,'2015-2016'!$B$4:$B$23,'2015-2016'!AF$4:AF$23)</f>
        <v>66.55</v>
      </c>
      <c r="AF21">
        <f>_xlfn.XLOOKUP($A21,'2015-2016'!$B$4:$B$23,'2015-2016'!AG$4:AG$23)</f>
        <v>64.7</v>
      </c>
      <c r="AG21">
        <f>_xlfn.XLOOKUP($A21,'2015-2016'!$B$4:$B$23,'2015-2016'!AH$4:AH$23)</f>
        <v>29</v>
      </c>
      <c r="AH21">
        <f>_xlfn.XLOOKUP($A21,'2015-2016'!$B$4:$B$23,'2015-2016'!AI$4:AI$23)</f>
        <v>32</v>
      </c>
      <c r="AI21">
        <f>_xlfn.XLOOKUP($A21,'2015-2016'!$B$4:$B$23,'2015-2016'!AJ$4:AJ$23)</f>
        <v>117.95</v>
      </c>
      <c r="AJ21">
        <f>_xlfn.XLOOKUP($A21,'2015-2016'!$B$4:$B$23,'2015-2016'!AK$4:AK$23)</f>
        <v>44</v>
      </c>
      <c r="AK21">
        <f>_xlfn.XLOOKUP($A21,'2015-2016'!$B$4:$B$23,'2015-2016'!AL$4:AL$23)</f>
        <v>2.6806818181818182</v>
      </c>
      <c r="AL21">
        <f>_xlfn.XLOOKUP($A21,'2015-2016'!$B$4:$B$23,'2015-2016'!AM$4:AM$23)</f>
        <v>33690</v>
      </c>
      <c r="AM21">
        <f>_xlfn.XLOOKUP($A21,'2015-2016'!$B$4:$B$23,'2015-2016'!AN$4:AN$23)</f>
        <v>0.06</v>
      </c>
      <c r="AN21">
        <f>_xlfn.XLOOKUP($A21,'2015-2016'!$B$4:$B$23,'2015-2016'!AO$4:AO$23)</f>
        <v>0</v>
      </c>
      <c r="AO21">
        <f>_xlfn.XLOOKUP($A21,'2015-2016'!$B$4:$B$23,'2015-2016'!AP$4:AP$23)</f>
        <v>0</v>
      </c>
      <c r="AP21">
        <f>_xlfn.XLOOKUP($A21,'2015-2016'!$B$4:$B$23,'2015-2016'!AQ$4:AQ$23)</f>
        <v>0</v>
      </c>
      <c r="AQ21">
        <f>_xlfn.XLOOKUP($A21,'2015-2016'!$B$4:$B$23,'2015-2016'!AR$4:AR$23)</f>
        <v>1</v>
      </c>
      <c r="AR21">
        <f>_xlfn.XLOOKUP($A21,'2015-2016'!$B$4:$B$23,'2015-2016'!AS$4:AS$23)</f>
        <v>0</v>
      </c>
      <c r="AS21" t="str">
        <f>_xlfn.XLOOKUP($A21,'2015-2016'!$B$4:$B$23,'2015-2016'!AT$4:AT$23)</f>
        <v>15/16</v>
      </c>
    </row>
    <row r="22" spans="1:45" x14ac:dyDescent="0.25">
      <c r="A22">
        <v>1</v>
      </c>
      <c r="B22" t="str">
        <f>_xlfn.XLOOKUP($A22,'2016-2017'!$B$4:$B$23,'2016-2017'!C$4:C$23)</f>
        <v>Chelsea</v>
      </c>
      <c r="C22">
        <f>_xlfn.XLOOKUP($A22,'2016-2017'!$B$4:$B$23,'2016-2017'!D$4:D$23)</f>
        <v>85</v>
      </c>
      <c r="D22">
        <f>_xlfn.XLOOKUP($A22,'2016-2017'!$B$4:$B$23,'2016-2017'!E$4:E$23)</f>
        <v>33</v>
      </c>
      <c r="E22">
        <f>_xlfn.XLOOKUP($A22,'2016-2017'!$B$4:$B$23,'2016-2017'!F$4:F$23)</f>
        <v>52</v>
      </c>
      <c r="F22">
        <f>_xlfn.XLOOKUP($A22,'2016-2017'!$B$4:$B$23,'2016-2017'!G$4:G$23)</f>
        <v>16</v>
      </c>
      <c r="G22">
        <f>_xlfn.XLOOKUP($A22,'2016-2017'!$B$4:$B$23,'2016-2017'!H$4:H$23)</f>
        <v>72</v>
      </c>
      <c r="H22">
        <f>_xlfn.XLOOKUP($A22,'2016-2017'!$B$4:$B$23,'2016-2017'!I$4:I$23)</f>
        <v>0</v>
      </c>
      <c r="I22" t="str">
        <f>_xlfn.XLOOKUP($A22,'2016-2017'!$B$4:$B$23,'2016-2017'!J$4:J$23)</f>
        <v>NA</v>
      </c>
      <c r="J22" t="str">
        <f>_xlfn.XLOOKUP($A22,'2016-2017'!$B$4:$B$23,'2016-2017'!K$4:K$23)</f>
        <v>NA</v>
      </c>
      <c r="K22" t="str">
        <f>_xlfn.XLOOKUP($A22,'2016-2017'!$B$4:$B$23,'2016-2017'!L$4:L$23)</f>
        <v>NA</v>
      </c>
      <c r="L22">
        <f>_xlfn.XLOOKUP($A22,'2016-2017'!$B$4:$B$23,'2016-2017'!M$4:M$23)</f>
        <v>582</v>
      </c>
      <c r="M22">
        <f>_xlfn.XLOOKUP($A22,'2016-2017'!$B$4:$B$23,'2016-2017'!N$4:N$23)</f>
        <v>205</v>
      </c>
      <c r="N22">
        <f>_xlfn.XLOOKUP($A22,'2016-2017'!$B$4:$B$23,'2016-2017'!O$4:O$23)</f>
        <v>2</v>
      </c>
      <c r="O22">
        <f>_xlfn.XLOOKUP($A22,'2016-2017'!$B$4:$B$23,'2016-2017'!P$4:P$23)</f>
        <v>8</v>
      </c>
      <c r="P22">
        <f>_xlfn.XLOOKUP($A22,'2016-2017'!$B$4:$B$23,'2016-2017'!Q$4:Q$23)</f>
        <v>73</v>
      </c>
      <c r="Q22">
        <f>_xlfn.XLOOKUP($A22,'2016-2017'!$B$4:$B$23,'2016-2017'!R$4:R$23)</f>
        <v>0</v>
      </c>
      <c r="R22">
        <f>_xlfn.XLOOKUP($A22,'2016-2017'!$B$4:$B$23,'2016-2017'!S$4:S$23)</f>
        <v>12</v>
      </c>
      <c r="S22">
        <f>_xlfn.XLOOKUP($A22,'2016-2017'!$B$4:$B$23,'2016-2017'!T$4:T$23)</f>
        <v>65</v>
      </c>
      <c r="T22">
        <f>_xlfn.XLOOKUP($A22,'2016-2017'!$B$4:$B$23,'2016-2017'!U$4:U$23)</f>
        <v>1</v>
      </c>
      <c r="U22">
        <f>_xlfn.XLOOKUP($A22,'2016-2017'!$B$4:$B$23,'2016-2017'!V$4:V$23)</f>
        <v>2</v>
      </c>
      <c r="V22">
        <f>_xlfn.XLOOKUP($A22,'2016-2017'!$B$4:$B$23,'2016-2017'!W$4:W$23)</f>
        <v>72</v>
      </c>
      <c r="W22">
        <f>_xlfn.XLOOKUP($A22,'2016-2017'!$B$4:$B$23,'2016-2017'!X$4:X$23)</f>
        <v>839</v>
      </c>
      <c r="X22">
        <f>_xlfn.XLOOKUP($A22,'2016-2017'!$B$4:$B$23,'2016-2017'!Y$4:Y$23)</f>
        <v>652</v>
      </c>
      <c r="Y22">
        <f>_xlfn.XLOOKUP($A22,'2016-2017'!$B$4:$B$23,'2016-2017'!Z$4:Z$23)</f>
        <v>394</v>
      </c>
      <c r="Z22">
        <f>_xlfn.XLOOKUP($A22,'2016-2017'!$B$4:$B$23,'2016-2017'!AA$4:AA$23)</f>
        <v>20125</v>
      </c>
      <c r="AA22">
        <f>_xlfn.XLOOKUP($A22,'2016-2017'!$B$4:$B$23,'2016-2017'!AB$4:AB$23)</f>
        <v>103</v>
      </c>
      <c r="AB22">
        <f>_xlfn.XLOOKUP($A22,'2016-2017'!$B$4:$B$23,'2016-2017'!AC$4:AC$23)</f>
        <v>2967</v>
      </c>
      <c r="AC22">
        <f>_xlfn.XLOOKUP($A22,'2016-2017'!$B$4:$B$23,'2016-2017'!AD$4:AD$23)</f>
        <v>697</v>
      </c>
      <c r="AD22">
        <f>_xlfn.XLOOKUP($A22,'2016-2017'!$B$4:$B$23,'2016-2017'!AE$4:AE$23)</f>
        <v>218</v>
      </c>
      <c r="AE22">
        <f>_xlfn.XLOOKUP($A22,'2016-2017'!$B$4:$B$23,'2016-2017'!AF$4:AF$23)</f>
        <v>132.80000000000001</v>
      </c>
      <c r="AF22">
        <f>_xlfn.XLOOKUP($A22,'2016-2017'!$B$4:$B$23,'2016-2017'!AG$4:AG$23)</f>
        <v>108.9</v>
      </c>
      <c r="AG22">
        <f>_xlfn.XLOOKUP($A22,'2016-2017'!$B$4:$B$23,'2016-2017'!AH$4:AH$23)</f>
        <v>27</v>
      </c>
      <c r="AH22">
        <f>_xlfn.XLOOKUP($A22,'2016-2017'!$B$4:$B$23,'2016-2017'!AI$4:AI$23)</f>
        <v>30</v>
      </c>
      <c r="AI22">
        <f>_xlfn.XLOOKUP($A22,'2016-2017'!$B$4:$B$23,'2016-2017'!AJ$4:AJ$23)</f>
        <v>686.7</v>
      </c>
      <c r="AJ22">
        <f>_xlfn.XLOOKUP($A22,'2016-2017'!$B$4:$B$23,'2016-2017'!AK$4:AK$23)</f>
        <v>49</v>
      </c>
      <c r="AK22">
        <f>_xlfn.XLOOKUP($A22,'2016-2017'!$B$4:$B$23,'2016-2017'!AL$4:AL$23)</f>
        <v>14.014285714285716</v>
      </c>
      <c r="AL22">
        <f>_xlfn.XLOOKUP($A22,'2016-2017'!$B$4:$B$23,'2016-2017'!AM$4:AM$23)</f>
        <v>41508</v>
      </c>
      <c r="AM22">
        <f>_xlfn.XLOOKUP($A22,'2016-2017'!$B$4:$B$23,'2016-2017'!AN$4:AN$23)</f>
        <v>0.14000000000000001</v>
      </c>
      <c r="AN22">
        <f>_xlfn.XLOOKUP($A22,'2016-2017'!$B$4:$B$23,'2016-2017'!AO$4:AO$23)</f>
        <v>0</v>
      </c>
      <c r="AO22">
        <f>_xlfn.XLOOKUP($A22,'2016-2017'!$B$4:$B$23,'2016-2017'!AP$4:AP$23)</f>
        <v>0</v>
      </c>
      <c r="AP22">
        <f>_xlfn.XLOOKUP($A22,'2016-2017'!$B$4:$B$23,'2016-2017'!AQ$4:AQ$23)</f>
        <v>1</v>
      </c>
      <c r="AQ22">
        <f>_xlfn.XLOOKUP($A22,'2016-2017'!$B$4:$B$23,'2016-2017'!AR$4:AR$23)</f>
        <v>0</v>
      </c>
      <c r="AR22">
        <f>_xlfn.XLOOKUP($A22,'2016-2017'!$B$4:$B$23,'2016-2017'!AS$4:AS$23)</f>
        <v>1</v>
      </c>
      <c r="AS22" t="str">
        <f>_xlfn.XLOOKUP($A22,'2016-2017'!$B$4:$B$23,'2016-2017'!AT$4:AT$23)</f>
        <v>16/17</v>
      </c>
    </row>
    <row r="23" spans="1:45" x14ac:dyDescent="0.25">
      <c r="A23">
        <v>2</v>
      </c>
      <c r="B23" t="str">
        <f>_xlfn.XLOOKUP($A23,'2016-2017'!$B$4:$B$23,'2016-2017'!C$4:C$23)</f>
        <v>Tottenham Hotspur</v>
      </c>
      <c r="C23">
        <f>_xlfn.XLOOKUP($A23,'2016-2017'!$B$4:$B$23,'2016-2017'!D$4:D$23)</f>
        <v>86</v>
      </c>
      <c r="D23">
        <f>_xlfn.XLOOKUP($A23,'2016-2017'!$B$4:$B$23,'2016-2017'!E$4:E$23)</f>
        <v>26</v>
      </c>
      <c r="E23">
        <f>_xlfn.XLOOKUP($A23,'2016-2017'!$B$4:$B$23,'2016-2017'!F$4:F$23)</f>
        <v>60</v>
      </c>
      <c r="F23">
        <f>_xlfn.XLOOKUP($A23,'2016-2017'!$B$4:$B$23,'2016-2017'!G$4:G$23)</f>
        <v>17</v>
      </c>
      <c r="G23">
        <f>_xlfn.XLOOKUP($A23,'2016-2017'!$B$4:$B$23,'2016-2017'!H$4:H$23)</f>
        <v>62</v>
      </c>
      <c r="H23">
        <f>_xlfn.XLOOKUP($A23,'2016-2017'!$B$4:$B$23,'2016-2017'!I$4:I$23)</f>
        <v>0</v>
      </c>
      <c r="I23" t="str">
        <f>_xlfn.XLOOKUP($A23,'2016-2017'!$B$4:$B$23,'2016-2017'!J$4:J$23)</f>
        <v>NA</v>
      </c>
      <c r="J23" t="str">
        <f>_xlfn.XLOOKUP($A23,'2016-2017'!$B$4:$B$23,'2016-2017'!K$4:K$23)</f>
        <v>NA</v>
      </c>
      <c r="K23" t="str">
        <f>_xlfn.XLOOKUP($A23,'2016-2017'!$B$4:$B$23,'2016-2017'!L$4:L$23)</f>
        <v>NA</v>
      </c>
      <c r="L23">
        <f>_xlfn.XLOOKUP($A23,'2016-2017'!$B$4:$B$23,'2016-2017'!M$4:M$23)</f>
        <v>670</v>
      </c>
      <c r="M23">
        <f>_xlfn.XLOOKUP($A23,'2016-2017'!$B$4:$B$23,'2016-2017'!N$4:N$23)</f>
        <v>257</v>
      </c>
      <c r="N23">
        <f>_xlfn.XLOOKUP($A23,'2016-2017'!$B$4:$B$23,'2016-2017'!O$4:O$23)</f>
        <v>7</v>
      </c>
      <c r="O23">
        <f>_xlfn.XLOOKUP($A23,'2016-2017'!$B$4:$B$23,'2016-2017'!P$4:P$23)</f>
        <v>10</v>
      </c>
      <c r="P23">
        <f>_xlfn.XLOOKUP($A23,'2016-2017'!$B$4:$B$23,'2016-2017'!Q$4:Q$23)</f>
        <v>74</v>
      </c>
      <c r="Q23">
        <f>_xlfn.XLOOKUP($A23,'2016-2017'!$B$4:$B$23,'2016-2017'!R$4:R$23)</f>
        <v>0</v>
      </c>
      <c r="R23">
        <f>_xlfn.XLOOKUP($A23,'2016-2017'!$B$4:$B$23,'2016-2017'!S$4:S$23)</f>
        <v>12</v>
      </c>
      <c r="S23">
        <f>_xlfn.XLOOKUP($A23,'2016-2017'!$B$4:$B$23,'2016-2017'!T$4:T$23)</f>
        <v>74</v>
      </c>
      <c r="T23">
        <f>_xlfn.XLOOKUP($A23,'2016-2017'!$B$4:$B$23,'2016-2017'!U$4:U$23)</f>
        <v>1</v>
      </c>
      <c r="U23">
        <f>_xlfn.XLOOKUP($A23,'2016-2017'!$B$4:$B$23,'2016-2017'!V$4:V$23)</f>
        <v>2</v>
      </c>
      <c r="V23">
        <f>_xlfn.XLOOKUP($A23,'2016-2017'!$B$4:$B$23,'2016-2017'!W$4:W$23)</f>
        <v>84</v>
      </c>
      <c r="W23">
        <f>_xlfn.XLOOKUP($A23,'2016-2017'!$B$4:$B$23,'2016-2017'!X$4:X$23)</f>
        <v>1003</v>
      </c>
      <c r="X23">
        <f>_xlfn.XLOOKUP($A23,'2016-2017'!$B$4:$B$23,'2016-2017'!Y$4:Y$23)</f>
        <v>661</v>
      </c>
      <c r="Y23">
        <f>_xlfn.XLOOKUP($A23,'2016-2017'!$B$4:$B$23,'2016-2017'!Z$4:Z$23)</f>
        <v>431</v>
      </c>
      <c r="Z23">
        <f>_xlfn.XLOOKUP($A23,'2016-2017'!$B$4:$B$23,'2016-2017'!AA$4:AA$23)</f>
        <v>20153</v>
      </c>
      <c r="AA23">
        <f>_xlfn.XLOOKUP($A23,'2016-2017'!$B$4:$B$23,'2016-2017'!AB$4:AB$23)</f>
        <v>47</v>
      </c>
      <c r="AB23">
        <f>_xlfn.XLOOKUP($A23,'2016-2017'!$B$4:$B$23,'2016-2017'!AC$4:AC$23)</f>
        <v>3132</v>
      </c>
      <c r="AC23">
        <f>_xlfn.XLOOKUP($A23,'2016-2017'!$B$4:$B$23,'2016-2017'!AD$4:AD$23)</f>
        <v>763</v>
      </c>
      <c r="AD23">
        <f>_xlfn.XLOOKUP($A23,'2016-2017'!$B$4:$B$23,'2016-2017'!AE$4:AE$23)</f>
        <v>273</v>
      </c>
      <c r="AE23">
        <f>_xlfn.XLOOKUP($A23,'2016-2017'!$B$4:$B$23,'2016-2017'!AF$4:AF$23)</f>
        <v>83.5</v>
      </c>
      <c r="AF23">
        <f>_xlfn.XLOOKUP($A23,'2016-2017'!$B$4:$B$23,'2016-2017'!AG$4:AG$23)</f>
        <v>52.3</v>
      </c>
      <c r="AG23">
        <f>_xlfn.XLOOKUP($A23,'2016-2017'!$B$4:$B$23,'2016-2017'!AH$4:AH$23)</f>
        <v>8</v>
      </c>
      <c r="AH23">
        <f>_xlfn.XLOOKUP($A23,'2016-2017'!$B$4:$B$23,'2016-2017'!AI$4:AI$23)</f>
        <v>8</v>
      </c>
      <c r="AI23">
        <f>_xlfn.XLOOKUP($A23,'2016-2017'!$B$4:$B$23,'2016-2017'!AJ$4:AJ$23)</f>
        <v>543.65</v>
      </c>
      <c r="AJ23">
        <f>_xlfn.XLOOKUP($A23,'2016-2017'!$B$4:$B$23,'2016-2017'!AK$4:AK$23)</f>
        <v>38</v>
      </c>
      <c r="AK23">
        <f>_xlfn.XLOOKUP($A23,'2016-2017'!$B$4:$B$23,'2016-2017'!AL$4:AL$23)</f>
        <v>14.30657894736842</v>
      </c>
      <c r="AL23">
        <f>_xlfn.XLOOKUP($A23,'2016-2017'!$B$4:$B$23,'2016-2017'!AM$4:AM$23)</f>
        <v>31639</v>
      </c>
      <c r="AM23">
        <f>_xlfn.XLOOKUP($A23,'2016-2017'!$B$4:$B$23,'2016-2017'!AN$4:AN$23)</f>
        <v>0.2</v>
      </c>
      <c r="AN23">
        <f>_xlfn.XLOOKUP($A23,'2016-2017'!$B$4:$B$23,'2016-2017'!AO$4:AO$23)</f>
        <v>1</v>
      </c>
      <c r="AO23">
        <f>_xlfn.XLOOKUP($A23,'2016-2017'!$B$4:$B$23,'2016-2017'!AP$4:AP$23)</f>
        <v>0</v>
      </c>
      <c r="AP23">
        <f>_xlfn.XLOOKUP($A23,'2016-2017'!$B$4:$B$23,'2016-2017'!AQ$4:AQ$23)</f>
        <v>1</v>
      </c>
      <c r="AQ23">
        <f>_xlfn.XLOOKUP($A23,'2016-2017'!$B$4:$B$23,'2016-2017'!AR$4:AR$23)</f>
        <v>0</v>
      </c>
      <c r="AR23">
        <f>_xlfn.XLOOKUP($A23,'2016-2017'!$B$4:$B$23,'2016-2017'!AS$4:AS$23)</f>
        <v>1</v>
      </c>
      <c r="AS23" t="str">
        <f>_xlfn.XLOOKUP($A23,'2016-2017'!$B$4:$B$23,'2016-2017'!AT$4:AT$23)</f>
        <v>16/17</v>
      </c>
    </row>
    <row r="24" spans="1:45" x14ac:dyDescent="0.25">
      <c r="A24">
        <v>3</v>
      </c>
      <c r="B24" t="str">
        <f>_xlfn.XLOOKUP($A24,'2016-2017'!$B$4:$B$23,'2016-2017'!C$4:C$23)</f>
        <v>Manchester City</v>
      </c>
      <c r="C24">
        <f>_xlfn.XLOOKUP($A24,'2016-2017'!$B$4:$B$23,'2016-2017'!D$4:D$23)</f>
        <v>80</v>
      </c>
      <c r="D24">
        <f>_xlfn.XLOOKUP($A24,'2016-2017'!$B$4:$B$23,'2016-2017'!E$4:E$23)</f>
        <v>39</v>
      </c>
      <c r="E24">
        <f>_xlfn.XLOOKUP($A24,'2016-2017'!$B$4:$B$23,'2016-2017'!F$4:F$23)</f>
        <v>41</v>
      </c>
      <c r="F24">
        <f>_xlfn.XLOOKUP($A24,'2016-2017'!$B$4:$B$23,'2016-2017'!G$4:G$23)</f>
        <v>12</v>
      </c>
      <c r="G24">
        <f>_xlfn.XLOOKUP($A24,'2016-2017'!$B$4:$B$23,'2016-2017'!H$4:H$23)</f>
        <v>71</v>
      </c>
      <c r="H24">
        <f>_xlfn.XLOOKUP($A24,'2016-2017'!$B$4:$B$23,'2016-2017'!I$4:I$23)</f>
        <v>4</v>
      </c>
      <c r="I24" t="str">
        <f>_xlfn.XLOOKUP($A24,'2016-2017'!$B$4:$B$23,'2016-2017'!J$4:J$23)</f>
        <v>NA</v>
      </c>
      <c r="J24" t="str">
        <f>_xlfn.XLOOKUP($A24,'2016-2017'!$B$4:$B$23,'2016-2017'!K$4:K$23)</f>
        <v>NA</v>
      </c>
      <c r="K24" t="str">
        <f>_xlfn.XLOOKUP($A24,'2016-2017'!$B$4:$B$23,'2016-2017'!L$4:L$23)</f>
        <v>NA</v>
      </c>
      <c r="L24">
        <f>_xlfn.XLOOKUP($A24,'2016-2017'!$B$4:$B$23,'2016-2017'!M$4:M$23)</f>
        <v>633</v>
      </c>
      <c r="M24">
        <f>_xlfn.XLOOKUP($A24,'2016-2017'!$B$4:$B$23,'2016-2017'!N$4:N$23)</f>
        <v>215</v>
      </c>
      <c r="N24">
        <f>_xlfn.XLOOKUP($A24,'2016-2017'!$B$4:$B$23,'2016-2017'!O$4:O$23)</f>
        <v>7</v>
      </c>
      <c r="O24">
        <f>_xlfn.XLOOKUP($A24,'2016-2017'!$B$4:$B$23,'2016-2017'!P$4:P$23)</f>
        <v>8</v>
      </c>
      <c r="P24">
        <f>_xlfn.XLOOKUP($A24,'2016-2017'!$B$4:$B$23,'2016-2017'!Q$4:Q$23)</f>
        <v>73</v>
      </c>
      <c r="Q24">
        <f>_xlfn.XLOOKUP($A24,'2016-2017'!$B$4:$B$23,'2016-2017'!R$4:R$23)</f>
        <v>0</v>
      </c>
      <c r="R24">
        <f>_xlfn.XLOOKUP($A24,'2016-2017'!$B$4:$B$23,'2016-2017'!S$4:S$23)</f>
        <v>7</v>
      </c>
      <c r="S24">
        <f>_xlfn.XLOOKUP($A24,'2016-2017'!$B$4:$B$23,'2016-2017'!T$4:T$23)</f>
        <v>93</v>
      </c>
      <c r="T24">
        <f>_xlfn.XLOOKUP($A24,'2016-2017'!$B$4:$B$23,'2016-2017'!U$4:U$23)</f>
        <v>1</v>
      </c>
      <c r="U24">
        <f>_xlfn.XLOOKUP($A24,'2016-2017'!$B$4:$B$23,'2016-2017'!V$4:V$23)</f>
        <v>5</v>
      </c>
      <c r="V24">
        <f>_xlfn.XLOOKUP($A24,'2016-2017'!$B$4:$B$23,'2016-2017'!W$4:W$23)</f>
        <v>66</v>
      </c>
      <c r="W24">
        <f>_xlfn.XLOOKUP($A24,'2016-2017'!$B$4:$B$23,'2016-2017'!X$4:X$23)</f>
        <v>904</v>
      </c>
      <c r="X24">
        <f>_xlfn.XLOOKUP($A24,'2016-2017'!$B$4:$B$23,'2016-2017'!Y$4:Y$23)</f>
        <v>642</v>
      </c>
      <c r="Y24">
        <f>_xlfn.XLOOKUP($A24,'2016-2017'!$B$4:$B$23,'2016-2017'!Z$4:Z$23)</f>
        <v>395</v>
      </c>
      <c r="Z24">
        <f>_xlfn.XLOOKUP($A24,'2016-2017'!$B$4:$B$23,'2016-2017'!AA$4:AA$23)</f>
        <v>22705</v>
      </c>
      <c r="AA24">
        <f>_xlfn.XLOOKUP($A24,'2016-2017'!$B$4:$B$23,'2016-2017'!AB$4:AB$23)</f>
        <v>124</v>
      </c>
      <c r="AB24">
        <f>_xlfn.XLOOKUP($A24,'2016-2017'!$B$4:$B$23,'2016-2017'!AC$4:AC$23)</f>
        <v>3534</v>
      </c>
      <c r="AC24">
        <f>_xlfn.XLOOKUP($A24,'2016-2017'!$B$4:$B$23,'2016-2017'!AD$4:AD$23)</f>
        <v>810</v>
      </c>
      <c r="AD24">
        <f>_xlfn.XLOOKUP($A24,'2016-2017'!$B$4:$B$23,'2016-2017'!AE$4:AE$23)</f>
        <v>280</v>
      </c>
      <c r="AE24">
        <f>_xlfn.XLOOKUP($A24,'2016-2017'!$B$4:$B$23,'2016-2017'!AF$4:AF$23)</f>
        <v>215</v>
      </c>
      <c r="AF24">
        <f>_xlfn.XLOOKUP($A24,'2016-2017'!$B$4:$B$23,'2016-2017'!AG$4:AG$23)</f>
        <v>35.35</v>
      </c>
      <c r="AG24">
        <f>_xlfn.XLOOKUP($A24,'2016-2017'!$B$4:$B$23,'2016-2017'!AH$4:AH$23)</f>
        <v>31</v>
      </c>
      <c r="AH24">
        <f>_xlfn.XLOOKUP($A24,'2016-2017'!$B$4:$B$23,'2016-2017'!AI$4:AI$23)</f>
        <v>25</v>
      </c>
      <c r="AI24">
        <f>_xlfn.XLOOKUP($A24,'2016-2017'!$B$4:$B$23,'2016-2017'!AJ$4:AJ$23)</f>
        <v>576.6</v>
      </c>
      <c r="AJ24">
        <f>_xlfn.XLOOKUP($A24,'2016-2017'!$B$4:$B$23,'2016-2017'!AK$4:AK$23)</f>
        <v>35</v>
      </c>
      <c r="AK24">
        <f>_xlfn.XLOOKUP($A24,'2016-2017'!$B$4:$B$23,'2016-2017'!AL$4:AL$23)</f>
        <v>16.474285714285713</v>
      </c>
      <c r="AL24">
        <f>_xlfn.XLOOKUP($A24,'2016-2017'!$B$4:$B$23,'2016-2017'!AM$4:AM$23)</f>
        <v>54019</v>
      </c>
      <c r="AM24">
        <f>_xlfn.XLOOKUP($A24,'2016-2017'!$B$4:$B$23,'2016-2017'!AN$4:AN$23)</f>
        <v>0.03</v>
      </c>
      <c r="AN24">
        <f>_xlfn.XLOOKUP($A24,'2016-2017'!$B$4:$B$23,'2016-2017'!AO$4:AO$23)</f>
        <v>1</v>
      </c>
      <c r="AO24">
        <f>_xlfn.XLOOKUP($A24,'2016-2017'!$B$4:$B$23,'2016-2017'!AP$4:AP$23)</f>
        <v>0</v>
      </c>
      <c r="AP24">
        <f>_xlfn.XLOOKUP($A24,'2016-2017'!$B$4:$B$23,'2016-2017'!AQ$4:AQ$23)</f>
        <v>1</v>
      </c>
      <c r="AQ24">
        <f>_xlfn.XLOOKUP($A24,'2016-2017'!$B$4:$B$23,'2016-2017'!AR$4:AR$23)</f>
        <v>0</v>
      </c>
      <c r="AR24">
        <f>_xlfn.XLOOKUP($A24,'2016-2017'!$B$4:$B$23,'2016-2017'!AS$4:AS$23)</f>
        <v>1</v>
      </c>
      <c r="AS24" t="str">
        <f>_xlfn.XLOOKUP($A24,'2016-2017'!$B$4:$B$23,'2016-2017'!AT$4:AT$23)</f>
        <v>16/17</v>
      </c>
    </row>
    <row r="25" spans="1:45" x14ac:dyDescent="0.25">
      <c r="A25">
        <v>4</v>
      </c>
      <c r="B25" t="str">
        <f>_xlfn.XLOOKUP($A25,'2016-2017'!$B$4:$B$23,'2016-2017'!C$4:C$23)</f>
        <v>Liverpool</v>
      </c>
      <c r="C25">
        <f>_xlfn.XLOOKUP($A25,'2016-2017'!$B$4:$B$23,'2016-2017'!D$4:D$23)</f>
        <v>78</v>
      </c>
      <c r="D25">
        <f>_xlfn.XLOOKUP($A25,'2016-2017'!$B$4:$B$23,'2016-2017'!E$4:E$23)</f>
        <v>42</v>
      </c>
      <c r="E25">
        <f>_xlfn.XLOOKUP($A25,'2016-2017'!$B$4:$B$23,'2016-2017'!F$4:F$23)</f>
        <v>36</v>
      </c>
      <c r="F25">
        <f>_xlfn.XLOOKUP($A25,'2016-2017'!$B$4:$B$23,'2016-2017'!G$4:G$23)</f>
        <v>12</v>
      </c>
      <c r="G25">
        <f>_xlfn.XLOOKUP($A25,'2016-2017'!$B$4:$B$23,'2016-2017'!H$4:H$23)</f>
        <v>54</v>
      </c>
      <c r="H25">
        <f>_xlfn.XLOOKUP($A25,'2016-2017'!$B$4:$B$23,'2016-2017'!I$4:I$23)</f>
        <v>0</v>
      </c>
      <c r="I25" t="str">
        <f>_xlfn.XLOOKUP($A25,'2016-2017'!$B$4:$B$23,'2016-2017'!J$4:J$23)</f>
        <v>NA</v>
      </c>
      <c r="J25" t="str">
        <f>_xlfn.XLOOKUP($A25,'2016-2017'!$B$4:$B$23,'2016-2017'!K$4:K$23)</f>
        <v>NA</v>
      </c>
      <c r="K25" t="str">
        <f>_xlfn.XLOOKUP($A25,'2016-2017'!$B$4:$B$23,'2016-2017'!L$4:L$23)</f>
        <v>NA</v>
      </c>
      <c r="L25">
        <f>_xlfn.XLOOKUP($A25,'2016-2017'!$B$4:$B$23,'2016-2017'!M$4:M$23)</f>
        <v>639</v>
      </c>
      <c r="M25">
        <f>_xlfn.XLOOKUP($A25,'2016-2017'!$B$4:$B$23,'2016-2017'!N$4:N$23)</f>
        <v>236</v>
      </c>
      <c r="N25">
        <f>_xlfn.XLOOKUP($A25,'2016-2017'!$B$4:$B$23,'2016-2017'!O$4:O$23)</f>
        <v>7</v>
      </c>
      <c r="O25">
        <f>_xlfn.XLOOKUP($A25,'2016-2017'!$B$4:$B$23,'2016-2017'!P$4:P$23)</f>
        <v>12</v>
      </c>
      <c r="P25">
        <f>_xlfn.XLOOKUP($A25,'2016-2017'!$B$4:$B$23,'2016-2017'!Q$4:Q$23)</f>
        <v>65</v>
      </c>
      <c r="Q25">
        <f>_xlfn.XLOOKUP($A25,'2016-2017'!$B$4:$B$23,'2016-2017'!R$4:R$23)</f>
        <v>0</v>
      </c>
      <c r="R25">
        <f>_xlfn.XLOOKUP($A25,'2016-2017'!$B$4:$B$23,'2016-2017'!S$4:S$23)</f>
        <v>13</v>
      </c>
      <c r="S25">
        <f>_xlfn.XLOOKUP($A25,'2016-2017'!$B$4:$B$23,'2016-2017'!T$4:T$23)</f>
        <v>78</v>
      </c>
      <c r="T25">
        <f>_xlfn.XLOOKUP($A25,'2016-2017'!$B$4:$B$23,'2016-2017'!U$4:U$23)</f>
        <v>0</v>
      </c>
      <c r="U25">
        <f>_xlfn.XLOOKUP($A25,'2016-2017'!$B$4:$B$23,'2016-2017'!V$4:V$23)</f>
        <v>5</v>
      </c>
      <c r="V25">
        <f>_xlfn.XLOOKUP($A25,'2016-2017'!$B$4:$B$23,'2016-2017'!W$4:W$23)</f>
        <v>72</v>
      </c>
      <c r="W25">
        <f>_xlfn.XLOOKUP($A25,'2016-2017'!$B$4:$B$23,'2016-2017'!X$4:X$23)</f>
        <v>883</v>
      </c>
      <c r="X25">
        <f>_xlfn.XLOOKUP($A25,'2016-2017'!$B$4:$B$23,'2016-2017'!Y$4:Y$23)</f>
        <v>718</v>
      </c>
      <c r="Y25">
        <f>_xlfn.XLOOKUP($A25,'2016-2017'!$B$4:$B$23,'2016-2017'!Z$4:Z$23)</f>
        <v>396</v>
      </c>
      <c r="Z25">
        <f>_xlfn.XLOOKUP($A25,'2016-2017'!$B$4:$B$23,'2016-2017'!AA$4:AA$23)</f>
        <v>22283</v>
      </c>
      <c r="AA25">
        <f>_xlfn.XLOOKUP($A25,'2016-2017'!$B$4:$B$23,'2016-2017'!AB$4:AB$23)</f>
        <v>58</v>
      </c>
      <c r="AB25">
        <f>_xlfn.XLOOKUP($A25,'2016-2017'!$B$4:$B$23,'2016-2017'!AC$4:AC$23)</f>
        <v>3292</v>
      </c>
      <c r="AC25">
        <f>_xlfn.XLOOKUP($A25,'2016-2017'!$B$4:$B$23,'2016-2017'!AD$4:AD$23)</f>
        <v>815</v>
      </c>
      <c r="AD25">
        <f>_xlfn.XLOOKUP($A25,'2016-2017'!$B$4:$B$23,'2016-2017'!AE$4:AE$23)</f>
        <v>249</v>
      </c>
      <c r="AE25">
        <f>_xlfn.XLOOKUP($A25,'2016-2017'!$B$4:$B$23,'2016-2017'!AF$4:AF$23)</f>
        <v>79.900000000000006</v>
      </c>
      <c r="AF25">
        <f>_xlfn.XLOOKUP($A25,'2016-2017'!$B$4:$B$23,'2016-2017'!AG$4:AG$23)</f>
        <v>85.38</v>
      </c>
      <c r="AG25">
        <f>_xlfn.XLOOKUP($A25,'2016-2017'!$B$4:$B$23,'2016-2017'!AH$4:AH$23)</f>
        <v>21</v>
      </c>
      <c r="AH25">
        <f>_xlfn.XLOOKUP($A25,'2016-2017'!$B$4:$B$23,'2016-2017'!AI$4:AI$23)</f>
        <v>19</v>
      </c>
      <c r="AI25">
        <f>_xlfn.XLOOKUP($A25,'2016-2017'!$B$4:$B$23,'2016-2017'!AJ$4:AJ$23)</f>
        <v>425.65</v>
      </c>
      <c r="AJ25">
        <f>_xlfn.XLOOKUP($A25,'2016-2017'!$B$4:$B$23,'2016-2017'!AK$4:AK$23)</f>
        <v>38</v>
      </c>
      <c r="AK25">
        <f>_xlfn.XLOOKUP($A25,'2016-2017'!$B$4:$B$23,'2016-2017'!AL$4:AL$23)</f>
        <v>11.201315789473684</v>
      </c>
      <c r="AL25">
        <f>_xlfn.XLOOKUP($A25,'2016-2017'!$B$4:$B$23,'2016-2017'!AM$4:AM$23)</f>
        <v>53016</v>
      </c>
      <c r="AM25">
        <f>_xlfn.XLOOKUP($A25,'2016-2017'!$B$4:$B$23,'2016-2017'!AN$4:AN$23)</f>
        <v>0.15</v>
      </c>
      <c r="AN25">
        <f>_xlfn.XLOOKUP($A25,'2016-2017'!$B$4:$B$23,'2016-2017'!AO$4:AO$23)</f>
        <v>0</v>
      </c>
      <c r="AO25">
        <f>_xlfn.XLOOKUP($A25,'2016-2017'!$B$4:$B$23,'2016-2017'!AP$4:AP$23)</f>
        <v>0</v>
      </c>
      <c r="AP25">
        <f>_xlfn.XLOOKUP($A25,'2016-2017'!$B$4:$B$23,'2016-2017'!AQ$4:AQ$23)</f>
        <v>1</v>
      </c>
      <c r="AQ25">
        <f>_xlfn.XLOOKUP($A25,'2016-2017'!$B$4:$B$23,'2016-2017'!AR$4:AR$23)</f>
        <v>0</v>
      </c>
      <c r="AR25">
        <f>_xlfn.XLOOKUP($A25,'2016-2017'!$B$4:$B$23,'2016-2017'!AS$4:AS$23)</f>
        <v>1</v>
      </c>
      <c r="AS25" t="str">
        <f>_xlfn.XLOOKUP($A25,'2016-2017'!$B$4:$B$23,'2016-2017'!AT$4:AT$23)</f>
        <v>16/17</v>
      </c>
    </row>
    <row r="26" spans="1:45" x14ac:dyDescent="0.25">
      <c r="A26">
        <v>5</v>
      </c>
      <c r="B26" t="str">
        <f>_xlfn.XLOOKUP($A26,'2016-2017'!$B$4:$B$23,'2016-2017'!C$4:C$23)</f>
        <v>Arsenal</v>
      </c>
      <c r="C26">
        <f>_xlfn.XLOOKUP($A26,'2016-2017'!$B$4:$B$23,'2016-2017'!D$4:D$23)</f>
        <v>77</v>
      </c>
      <c r="D26">
        <f>_xlfn.XLOOKUP($A26,'2016-2017'!$B$4:$B$23,'2016-2017'!E$4:E$23)</f>
        <v>44</v>
      </c>
      <c r="E26">
        <f>_xlfn.XLOOKUP($A26,'2016-2017'!$B$4:$B$23,'2016-2017'!F$4:F$23)</f>
        <v>33</v>
      </c>
      <c r="F26">
        <f>_xlfn.XLOOKUP($A26,'2016-2017'!$B$4:$B$23,'2016-2017'!G$4:G$23)</f>
        <v>13</v>
      </c>
      <c r="G26">
        <f>_xlfn.XLOOKUP($A26,'2016-2017'!$B$4:$B$23,'2016-2017'!H$4:H$23)</f>
        <v>68</v>
      </c>
      <c r="H26">
        <f>_xlfn.XLOOKUP($A26,'2016-2017'!$B$4:$B$23,'2016-2017'!I$4:I$23)</f>
        <v>3</v>
      </c>
      <c r="I26" t="str">
        <f>_xlfn.XLOOKUP($A26,'2016-2017'!$B$4:$B$23,'2016-2017'!J$4:J$23)</f>
        <v>NA</v>
      </c>
      <c r="J26" t="str">
        <f>_xlfn.XLOOKUP($A26,'2016-2017'!$B$4:$B$23,'2016-2017'!K$4:K$23)</f>
        <v>NA</v>
      </c>
      <c r="K26" t="str">
        <f>_xlfn.XLOOKUP($A26,'2016-2017'!$B$4:$B$23,'2016-2017'!L$4:L$23)</f>
        <v>NA</v>
      </c>
      <c r="L26">
        <f>_xlfn.XLOOKUP($A26,'2016-2017'!$B$4:$B$23,'2016-2017'!M$4:M$23)</f>
        <v>568</v>
      </c>
      <c r="M26">
        <f>_xlfn.XLOOKUP($A26,'2016-2017'!$B$4:$B$23,'2016-2017'!N$4:N$23)</f>
        <v>201</v>
      </c>
      <c r="N26">
        <f>_xlfn.XLOOKUP($A26,'2016-2017'!$B$4:$B$23,'2016-2017'!O$4:O$23)</f>
        <v>4</v>
      </c>
      <c r="O26">
        <f>_xlfn.XLOOKUP($A26,'2016-2017'!$B$4:$B$23,'2016-2017'!P$4:P$23)</f>
        <v>17</v>
      </c>
      <c r="P26">
        <f>_xlfn.XLOOKUP($A26,'2016-2017'!$B$4:$B$23,'2016-2017'!Q$4:Q$23)</f>
        <v>70</v>
      </c>
      <c r="Q26">
        <f>_xlfn.XLOOKUP($A26,'2016-2017'!$B$4:$B$23,'2016-2017'!R$4:R$23)</f>
        <v>0</v>
      </c>
      <c r="R26">
        <f>_xlfn.XLOOKUP($A26,'2016-2017'!$B$4:$B$23,'2016-2017'!S$4:S$23)</f>
        <v>7</v>
      </c>
      <c r="S26">
        <f>_xlfn.XLOOKUP($A26,'2016-2017'!$B$4:$B$23,'2016-2017'!T$4:T$23)</f>
        <v>99</v>
      </c>
      <c r="T26">
        <f>_xlfn.XLOOKUP($A26,'2016-2017'!$B$4:$B$23,'2016-2017'!U$4:U$23)</f>
        <v>1</v>
      </c>
      <c r="U26">
        <f>_xlfn.XLOOKUP($A26,'2016-2017'!$B$4:$B$23,'2016-2017'!V$4:V$23)</f>
        <v>10</v>
      </c>
      <c r="V26">
        <f>_xlfn.XLOOKUP($A26,'2016-2017'!$B$4:$B$23,'2016-2017'!W$4:W$23)</f>
        <v>123</v>
      </c>
      <c r="W26">
        <f>_xlfn.XLOOKUP($A26,'2016-2017'!$B$4:$B$23,'2016-2017'!X$4:X$23)</f>
        <v>839</v>
      </c>
      <c r="X26">
        <f>_xlfn.XLOOKUP($A26,'2016-2017'!$B$4:$B$23,'2016-2017'!Y$4:Y$23)</f>
        <v>674</v>
      </c>
      <c r="Y26">
        <f>_xlfn.XLOOKUP($A26,'2016-2017'!$B$4:$B$23,'2016-2017'!Z$4:Z$23)</f>
        <v>394</v>
      </c>
      <c r="Z26">
        <f>_xlfn.XLOOKUP($A26,'2016-2017'!$B$4:$B$23,'2016-2017'!AA$4:AA$23)</f>
        <v>21392</v>
      </c>
      <c r="AA26">
        <f>_xlfn.XLOOKUP($A26,'2016-2017'!$B$4:$B$23,'2016-2017'!AB$4:AB$23)</f>
        <v>129</v>
      </c>
      <c r="AB26">
        <f>_xlfn.XLOOKUP($A26,'2016-2017'!$B$4:$B$23,'2016-2017'!AC$4:AC$23)</f>
        <v>2835</v>
      </c>
      <c r="AC26">
        <f>_xlfn.XLOOKUP($A26,'2016-2017'!$B$4:$B$23,'2016-2017'!AD$4:AD$23)</f>
        <v>701</v>
      </c>
      <c r="AD26">
        <f>_xlfn.XLOOKUP($A26,'2016-2017'!$B$4:$B$23,'2016-2017'!AE$4:AE$23)</f>
        <v>227</v>
      </c>
      <c r="AE26">
        <f>_xlfn.XLOOKUP($A26,'2016-2017'!$B$4:$B$23,'2016-2017'!AF$4:AF$23)</f>
        <v>113.04</v>
      </c>
      <c r="AF26">
        <f>_xlfn.XLOOKUP($A26,'2016-2017'!$B$4:$B$23,'2016-2017'!AG$4:AG$23)</f>
        <v>10.35</v>
      </c>
      <c r="AG26">
        <f>_xlfn.XLOOKUP($A26,'2016-2017'!$B$4:$B$23,'2016-2017'!AH$4:AH$23)</f>
        <v>11</v>
      </c>
      <c r="AH26">
        <f>_xlfn.XLOOKUP($A26,'2016-2017'!$B$4:$B$23,'2016-2017'!AI$4:AI$23)</f>
        <v>12</v>
      </c>
      <c r="AI26">
        <f>_xlfn.XLOOKUP($A26,'2016-2017'!$B$4:$B$23,'2016-2017'!AJ$4:AJ$23)</f>
        <v>542</v>
      </c>
      <c r="AJ26">
        <f>_xlfn.XLOOKUP($A26,'2016-2017'!$B$4:$B$23,'2016-2017'!AK$4:AK$23)</f>
        <v>42</v>
      </c>
      <c r="AK26">
        <f>_xlfn.XLOOKUP($A26,'2016-2017'!$B$4:$B$23,'2016-2017'!AL$4:AL$23)</f>
        <v>12.904761904761905</v>
      </c>
      <c r="AL26">
        <f>_xlfn.XLOOKUP($A26,'2016-2017'!$B$4:$B$23,'2016-2017'!AM$4:AM$23)</f>
        <v>59957</v>
      </c>
      <c r="AM26">
        <f>_xlfn.XLOOKUP($A26,'2016-2017'!$B$4:$B$23,'2016-2017'!AN$4:AN$23)</f>
        <v>0.15</v>
      </c>
      <c r="AN26">
        <f>_xlfn.XLOOKUP($A26,'2016-2017'!$B$4:$B$23,'2016-2017'!AO$4:AO$23)</f>
        <v>1</v>
      </c>
      <c r="AO26">
        <f>_xlfn.XLOOKUP($A26,'2016-2017'!$B$4:$B$23,'2016-2017'!AP$4:AP$23)</f>
        <v>0</v>
      </c>
      <c r="AP26">
        <f>_xlfn.XLOOKUP($A26,'2016-2017'!$B$4:$B$23,'2016-2017'!AQ$4:AQ$23)</f>
        <v>0</v>
      </c>
      <c r="AQ26">
        <f>_xlfn.XLOOKUP($A26,'2016-2017'!$B$4:$B$23,'2016-2017'!AR$4:AR$23)</f>
        <v>0</v>
      </c>
      <c r="AR26">
        <f>_xlfn.XLOOKUP($A26,'2016-2017'!$B$4:$B$23,'2016-2017'!AS$4:AS$23)</f>
        <v>1</v>
      </c>
      <c r="AS26" t="str">
        <f>_xlfn.XLOOKUP($A26,'2016-2017'!$B$4:$B$23,'2016-2017'!AT$4:AT$23)</f>
        <v>16/17</v>
      </c>
    </row>
    <row r="27" spans="1:45" x14ac:dyDescent="0.25">
      <c r="A27">
        <v>6</v>
      </c>
      <c r="B27" t="str">
        <f>_xlfn.XLOOKUP($A27,'2016-2017'!$B$4:$B$23,'2016-2017'!C$4:C$23)</f>
        <v>Manchester United</v>
      </c>
      <c r="C27">
        <f>_xlfn.XLOOKUP($A27,'2016-2017'!$B$4:$B$23,'2016-2017'!D$4:D$23)</f>
        <v>54</v>
      </c>
      <c r="D27">
        <f>_xlfn.XLOOKUP($A27,'2016-2017'!$B$4:$B$23,'2016-2017'!E$4:E$23)</f>
        <v>29</v>
      </c>
      <c r="E27">
        <f>_xlfn.XLOOKUP($A27,'2016-2017'!$B$4:$B$23,'2016-2017'!F$4:F$23)</f>
        <v>25</v>
      </c>
      <c r="F27">
        <f>_xlfn.XLOOKUP($A27,'2016-2017'!$B$4:$B$23,'2016-2017'!G$4:G$23)</f>
        <v>17</v>
      </c>
      <c r="G27">
        <f>_xlfn.XLOOKUP($A27,'2016-2017'!$B$4:$B$23,'2016-2017'!H$4:H$23)</f>
        <v>78</v>
      </c>
      <c r="H27">
        <f>_xlfn.XLOOKUP($A27,'2016-2017'!$B$4:$B$23,'2016-2017'!I$4:I$23)</f>
        <v>2</v>
      </c>
      <c r="I27" t="str">
        <f>_xlfn.XLOOKUP($A27,'2016-2017'!$B$4:$B$23,'2016-2017'!J$4:J$23)</f>
        <v>NA</v>
      </c>
      <c r="J27" t="str">
        <f>_xlfn.XLOOKUP($A27,'2016-2017'!$B$4:$B$23,'2016-2017'!K$4:K$23)</f>
        <v>NA</v>
      </c>
      <c r="K27" t="str">
        <f>_xlfn.XLOOKUP($A27,'2016-2017'!$B$4:$B$23,'2016-2017'!L$4:L$23)</f>
        <v>NA</v>
      </c>
      <c r="L27">
        <f>_xlfn.XLOOKUP($A27,'2016-2017'!$B$4:$B$23,'2016-2017'!M$4:M$23)</f>
        <v>589</v>
      </c>
      <c r="M27">
        <f>_xlfn.XLOOKUP($A27,'2016-2017'!$B$4:$B$23,'2016-2017'!N$4:N$23)</f>
        <v>207</v>
      </c>
      <c r="N27">
        <f>_xlfn.XLOOKUP($A27,'2016-2017'!$B$4:$B$23,'2016-2017'!O$4:O$23)</f>
        <v>3</v>
      </c>
      <c r="O27">
        <f>_xlfn.XLOOKUP($A27,'2016-2017'!$B$4:$B$23,'2016-2017'!P$4:P$23)</f>
        <v>9</v>
      </c>
      <c r="P27">
        <f>_xlfn.XLOOKUP($A27,'2016-2017'!$B$4:$B$23,'2016-2017'!Q$4:Q$23)</f>
        <v>47</v>
      </c>
      <c r="Q27">
        <f>_xlfn.XLOOKUP($A27,'2016-2017'!$B$4:$B$23,'2016-2017'!R$4:R$23)</f>
        <v>0</v>
      </c>
      <c r="R27">
        <f>_xlfn.XLOOKUP($A27,'2016-2017'!$B$4:$B$23,'2016-2017'!S$4:S$23)</f>
        <v>7</v>
      </c>
      <c r="S27">
        <f>_xlfn.XLOOKUP($A27,'2016-2017'!$B$4:$B$23,'2016-2017'!T$4:T$23)</f>
        <v>102</v>
      </c>
      <c r="T27">
        <f>_xlfn.XLOOKUP($A27,'2016-2017'!$B$4:$B$23,'2016-2017'!U$4:U$23)</f>
        <v>1</v>
      </c>
      <c r="U27">
        <f>_xlfn.XLOOKUP($A27,'2016-2017'!$B$4:$B$23,'2016-2017'!V$4:V$23)</f>
        <v>5</v>
      </c>
      <c r="V27">
        <f>_xlfn.XLOOKUP($A27,'2016-2017'!$B$4:$B$23,'2016-2017'!W$4:W$23)</f>
        <v>87</v>
      </c>
      <c r="W27">
        <f>_xlfn.XLOOKUP($A27,'2016-2017'!$B$4:$B$23,'2016-2017'!X$4:X$23)</f>
        <v>1110</v>
      </c>
      <c r="X27">
        <f>_xlfn.XLOOKUP($A27,'2016-2017'!$B$4:$B$23,'2016-2017'!Y$4:Y$23)</f>
        <v>690</v>
      </c>
      <c r="Y27">
        <f>_xlfn.XLOOKUP($A27,'2016-2017'!$B$4:$B$23,'2016-2017'!Z$4:Z$23)</f>
        <v>498</v>
      </c>
      <c r="Z27">
        <f>_xlfn.XLOOKUP($A27,'2016-2017'!$B$4:$B$23,'2016-2017'!AA$4:AA$23)</f>
        <v>20247</v>
      </c>
      <c r="AA27">
        <f>_xlfn.XLOOKUP($A27,'2016-2017'!$B$4:$B$23,'2016-2017'!AB$4:AB$23)</f>
        <v>99</v>
      </c>
      <c r="AB27">
        <f>_xlfn.XLOOKUP($A27,'2016-2017'!$B$4:$B$23,'2016-2017'!AC$4:AC$23)</f>
        <v>3177</v>
      </c>
      <c r="AC27">
        <f>_xlfn.XLOOKUP($A27,'2016-2017'!$B$4:$B$23,'2016-2017'!AD$4:AD$23)</f>
        <v>852</v>
      </c>
      <c r="AD27">
        <f>_xlfn.XLOOKUP($A27,'2016-2017'!$B$4:$B$23,'2016-2017'!AE$4:AE$23)</f>
        <v>217</v>
      </c>
      <c r="AE27">
        <f>_xlfn.XLOOKUP($A27,'2016-2017'!$B$4:$B$23,'2016-2017'!AF$4:AF$23)</f>
        <v>185</v>
      </c>
      <c r="AF27">
        <f>_xlfn.XLOOKUP($A27,'2016-2017'!$B$4:$B$23,'2016-2017'!AG$4:AG$23)</f>
        <v>47.25</v>
      </c>
      <c r="AG27">
        <f>_xlfn.XLOOKUP($A27,'2016-2017'!$B$4:$B$23,'2016-2017'!AH$4:AH$23)</f>
        <v>9</v>
      </c>
      <c r="AH27">
        <f>_xlfn.XLOOKUP($A27,'2016-2017'!$B$4:$B$23,'2016-2017'!AI$4:AI$23)</f>
        <v>14</v>
      </c>
      <c r="AI27">
        <f>_xlfn.XLOOKUP($A27,'2016-2017'!$B$4:$B$23,'2016-2017'!AJ$4:AJ$23)</f>
        <v>531.45000000000005</v>
      </c>
      <c r="AJ27">
        <f>_xlfn.XLOOKUP($A27,'2016-2017'!$B$4:$B$23,'2016-2017'!AK$4:AK$23)</f>
        <v>42</v>
      </c>
      <c r="AK27">
        <f>_xlfn.XLOOKUP($A27,'2016-2017'!$B$4:$B$23,'2016-2017'!AL$4:AL$23)</f>
        <v>12.65357142857143</v>
      </c>
      <c r="AL27">
        <f>_xlfn.XLOOKUP($A27,'2016-2017'!$B$4:$B$23,'2016-2017'!AM$4:AM$23)</f>
        <v>75290</v>
      </c>
      <c r="AM27">
        <f>_xlfn.XLOOKUP($A27,'2016-2017'!$B$4:$B$23,'2016-2017'!AN$4:AN$23)</f>
        <v>7.0000000000000007E-2</v>
      </c>
      <c r="AN27">
        <f>_xlfn.XLOOKUP($A27,'2016-2017'!$B$4:$B$23,'2016-2017'!AO$4:AO$23)</f>
        <v>1</v>
      </c>
      <c r="AO27">
        <f>_xlfn.XLOOKUP($A27,'2016-2017'!$B$4:$B$23,'2016-2017'!AP$4:AP$23)</f>
        <v>0</v>
      </c>
      <c r="AP27">
        <f>_xlfn.XLOOKUP($A27,'2016-2017'!$B$4:$B$23,'2016-2017'!AQ$4:AQ$23)</f>
        <v>0</v>
      </c>
      <c r="AQ27">
        <f>_xlfn.XLOOKUP($A27,'2016-2017'!$B$4:$B$23,'2016-2017'!AR$4:AR$23)</f>
        <v>0</v>
      </c>
      <c r="AR27">
        <f>_xlfn.XLOOKUP($A27,'2016-2017'!$B$4:$B$23,'2016-2017'!AS$4:AS$23)</f>
        <v>1</v>
      </c>
      <c r="AS27" t="str">
        <f>_xlfn.XLOOKUP($A27,'2016-2017'!$B$4:$B$23,'2016-2017'!AT$4:AT$23)</f>
        <v>16/17</v>
      </c>
    </row>
    <row r="28" spans="1:45" x14ac:dyDescent="0.25">
      <c r="A28">
        <v>7</v>
      </c>
      <c r="B28" t="str">
        <f>_xlfn.XLOOKUP($A28,'2016-2017'!$B$4:$B$23,'2016-2017'!C$4:C$23)</f>
        <v>Everton</v>
      </c>
      <c r="C28">
        <f>_xlfn.XLOOKUP($A28,'2016-2017'!$B$4:$B$23,'2016-2017'!D$4:D$23)</f>
        <v>62</v>
      </c>
      <c r="D28">
        <f>_xlfn.XLOOKUP($A28,'2016-2017'!$B$4:$B$23,'2016-2017'!E$4:E$23)</f>
        <v>44</v>
      </c>
      <c r="E28">
        <f>_xlfn.XLOOKUP($A28,'2016-2017'!$B$4:$B$23,'2016-2017'!F$4:F$23)</f>
        <v>18</v>
      </c>
      <c r="F28">
        <f>_xlfn.XLOOKUP($A28,'2016-2017'!$B$4:$B$23,'2016-2017'!G$4:G$23)</f>
        <v>13</v>
      </c>
      <c r="G28">
        <f>_xlfn.XLOOKUP($A28,'2016-2017'!$B$4:$B$23,'2016-2017'!H$4:H$23)</f>
        <v>72</v>
      </c>
      <c r="H28">
        <f>_xlfn.XLOOKUP($A28,'2016-2017'!$B$4:$B$23,'2016-2017'!I$4:I$23)</f>
        <v>2</v>
      </c>
      <c r="I28" t="str">
        <f>_xlfn.XLOOKUP($A28,'2016-2017'!$B$4:$B$23,'2016-2017'!J$4:J$23)</f>
        <v>NA</v>
      </c>
      <c r="J28" t="str">
        <f>_xlfn.XLOOKUP($A28,'2016-2017'!$B$4:$B$23,'2016-2017'!K$4:K$23)</f>
        <v>NA</v>
      </c>
      <c r="K28" t="str">
        <f>_xlfn.XLOOKUP($A28,'2016-2017'!$B$4:$B$23,'2016-2017'!L$4:L$23)</f>
        <v>NA</v>
      </c>
      <c r="L28">
        <f>_xlfn.XLOOKUP($A28,'2016-2017'!$B$4:$B$23,'2016-2017'!M$4:M$23)</f>
        <v>500</v>
      </c>
      <c r="M28">
        <f>_xlfn.XLOOKUP($A28,'2016-2017'!$B$4:$B$23,'2016-2017'!N$4:N$23)</f>
        <v>192</v>
      </c>
      <c r="N28">
        <f>_xlfn.XLOOKUP($A28,'2016-2017'!$B$4:$B$23,'2016-2017'!O$4:O$23)</f>
        <v>3</v>
      </c>
      <c r="O28">
        <f>_xlfn.XLOOKUP($A28,'2016-2017'!$B$4:$B$23,'2016-2017'!P$4:P$23)</f>
        <v>13</v>
      </c>
      <c r="P28">
        <f>_xlfn.XLOOKUP($A28,'2016-2017'!$B$4:$B$23,'2016-2017'!Q$4:Q$23)</f>
        <v>59</v>
      </c>
      <c r="Q28">
        <f>_xlfn.XLOOKUP($A28,'2016-2017'!$B$4:$B$23,'2016-2017'!R$4:R$23)</f>
        <v>0</v>
      </c>
      <c r="R28">
        <f>_xlfn.XLOOKUP($A28,'2016-2017'!$B$4:$B$23,'2016-2017'!S$4:S$23)</f>
        <v>3</v>
      </c>
      <c r="S28">
        <f>_xlfn.XLOOKUP($A28,'2016-2017'!$B$4:$B$23,'2016-2017'!T$4:T$23)</f>
        <v>83</v>
      </c>
      <c r="T28">
        <f>_xlfn.XLOOKUP($A28,'2016-2017'!$B$4:$B$23,'2016-2017'!U$4:U$23)</f>
        <v>1</v>
      </c>
      <c r="U28">
        <f>_xlfn.XLOOKUP($A28,'2016-2017'!$B$4:$B$23,'2016-2017'!V$4:V$23)</f>
        <v>5</v>
      </c>
      <c r="V28">
        <f>_xlfn.XLOOKUP($A28,'2016-2017'!$B$4:$B$23,'2016-2017'!W$4:W$23)</f>
        <v>104</v>
      </c>
      <c r="W28">
        <f>_xlfn.XLOOKUP($A28,'2016-2017'!$B$4:$B$23,'2016-2017'!X$4:X$23)</f>
        <v>1117</v>
      </c>
      <c r="X28">
        <f>_xlfn.XLOOKUP($A28,'2016-2017'!$B$4:$B$23,'2016-2017'!Y$4:Y$23)</f>
        <v>714</v>
      </c>
      <c r="Y28">
        <f>_xlfn.XLOOKUP($A28,'2016-2017'!$B$4:$B$23,'2016-2017'!Z$4:Z$23)</f>
        <v>457</v>
      </c>
      <c r="Z28">
        <f>_xlfn.XLOOKUP($A28,'2016-2017'!$B$4:$B$23,'2016-2017'!AA$4:AA$23)</f>
        <v>17584</v>
      </c>
      <c r="AA28">
        <f>_xlfn.XLOOKUP($A28,'2016-2017'!$B$4:$B$23,'2016-2017'!AB$4:AB$23)</f>
        <v>40</v>
      </c>
      <c r="AB28">
        <f>_xlfn.XLOOKUP($A28,'2016-2017'!$B$4:$B$23,'2016-2017'!AC$4:AC$23)</f>
        <v>2743</v>
      </c>
      <c r="AC28">
        <f>_xlfn.XLOOKUP($A28,'2016-2017'!$B$4:$B$23,'2016-2017'!AD$4:AD$23)</f>
        <v>775</v>
      </c>
      <c r="AD28">
        <f>_xlfn.XLOOKUP($A28,'2016-2017'!$B$4:$B$23,'2016-2017'!AE$4:AE$23)</f>
        <v>196</v>
      </c>
      <c r="AE28">
        <f>_xlfn.XLOOKUP($A28,'2016-2017'!$B$4:$B$23,'2016-2017'!AF$4:AF$23)</f>
        <v>86</v>
      </c>
      <c r="AF28">
        <f>_xlfn.XLOOKUP($A28,'2016-2017'!$B$4:$B$23,'2016-2017'!AG$4:AG$23)</f>
        <v>60.8</v>
      </c>
      <c r="AG28">
        <f>_xlfn.XLOOKUP($A28,'2016-2017'!$B$4:$B$23,'2016-2017'!AH$4:AH$23)</f>
        <v>18</v>
      </c>
      <c r="AH28">
        <f>_xlfn.XLOOKUP($A28,'2016-2017'!$B$4:$B$23,'2016-2017'!AI$4:AI$23)</f>
        <v>19</v>
      </c>
      <c r="AI28">
        <f>_xlfn.XLOOKUP($A28,'2016-2017'!$B$4:$B$23,'2016-2017'!AJ$4:AJ$23)</f>
        <v>311.25</v>
      </c>
      <c r="AJ28">
        <f>_xlfn.XLOOKUP($A28,'2016-2017'!$B$4:$B$23,'2016-2017'!AK$4:AK$23)</f>
        <v>39</v>
      </c>
      <c r="AK28">
        <f>_xlfn.XLOOKUP($A28,'2016-2017'!$B$4:$B$23,'2016-2017'!AL$4:AL$23)</f>
        <v>7.9807692307692308</v>
      </c>
      <c r="AL28">
        <f>_xlfn.XLOOKUP($A28,'2016-2017'!$B$4:$B$23,'2016-2017'!AM$4:AM$23)</f>
        <v>39047</v>
      </c>
      <c r="AM28">
        <f>_xlfn.XLOOKUP($A28,'2016-2017'!$B$4:$B$23,'2016-2017'!AN$4:AN$23)</f>
        <v>0.32</v>
      </c>
      <c r="AN28">
        <f>_xlfn.XLOOKUP($A28,'2016-2017'!$B$4:$B$23,'2016-2017'!AO$4:AO$23)</f>
        <v>0</v>
      </c>
      <c r="AO28">
        <f>_xlfn.XLOOKUP($A28,'2016-2017'!$B$4:$B$23,'2016-2017'!AP$4:AP$23)</f>
        <v>0</v>
      </c>
      <c r="AP28">
        <f>_xlfn.XLOOKUP($A28,'2016-2017'!$B$4:$B$23,'2016-2017'!AQ$4:AQ$23)</f>
        <v>0</v>
      </c>
      <c r="AQ28">
        <f>_xlfn.XLOOKUP($A28,'2016-2017'!$B$4:$B$23,'2016-2017'!AR$4:AR$23)</f>
        <v>0</v>
      </c>
      <c r="AR28">
        <f>_xlfn.XLOOKUP($A28,'2016-2017'!$B$4:$B$23,'2016-2017'!AS$4:AS$23)</f>
        <v>0</v>
      </c>
      <c r="AS28" t="str">
        <f>_xlfn.XLOOKUP($A28,'2016-2017'!$B$4:$B$23,'2016-2017'!AT$4:AT$23)</f>
        <v>16/17</v>
      </c>
    </row>
    <row r="29" spans="1:45" x14ac:dyDescent="0.25">
      <c r="A29">
        <v>8</v>
      </c>
      <c r="B29" t="str">
        <f>_xlfn.XLOOKUP($A29,'2016-2017'!$B$4:$B$23,'2016-2017'!C$4:C$23)</f>
        <v>Southampton</v>
      </c>
      <c r="C29">
        <f>_xlfn.XLOOKUP($A29,'2016-2017'!$B$4:$B$23,'2016-2017'!D$4:D$23)</f>
        <v>41</v>
      </c>
      <c r="D29">
        <f>_xlfn.XLOOKUP($A29,'2016-2017'!$B$4:$B$23,'2016-2017'!E$4:E$23)</f>
        <v>48</v>
      </c>
      <c r="E29">
        <f>_xlfn.XLOOKUP($A29,'2016-2017'!$B$4:$B$23,'2016-2017'!F$4:F$23)</f>
        <v>-7</v>
      </c>
      <c r="F29">
        <f>_xlfn.XLOOKUP($A29,'2016-2017'!$B$4:$B$23,'2016-2017'!G$4:G$23)</f>
        <v>14</v>
      </c>
      <c r="G29">
        <f>_xlfn.XLOOKUP($A29,'2016-2017'!$B$4:$B$23,'2016-2017'!H$4:H$23)</f>
        <v>59</v>
      </c>
      <c r="H29">
        <f>_xlfn.XLOOKUP($A29,'2016-2017'!$B$4:$B$23,'2016-2017'!I$4:I$23)</f>
        <v>2</v>
      </c>
      <c r="I29" t="str">
        <f>_xlfn.XLOOKUP($A29,'2016-2017'!$B$4:$B$23,'2016-2017'!J$4:J$23)</f>
        <v>NA</v>
      </c>
      <c r="J29" t="str">
        <f>_xlfn.XLOOKUP($A29,'2016-2017'!$B$4:$B$23,'2016-2017'!K$4:K$23)</f>
        <v>NA</v>
      </c>
      <c r="K29" t="str">
        <f>_xlfn.XLOOKUP($A29,'2016-2017'!$B$4:$B$23,'2016-2017'!L$4:L$23)</f>
        <v>NA</v>
      </c>
      <c r="L29">
        <f>_xlfn.XLOOKUP($A29,'2016-2017'!$B$4:$B$23,'2016-2017'!M$4:M$23)</f>
        <v>549</v>
      </c>
      <c r="M29">
        <f>_xlfn.XLOOKUP($A29,'2016-2017'!$B$4:$B$23,'2016-2017'!N$4:N$23)</f>
        <v>179</v>
      </c>
      <c r="N29">
        <f>_xlfn.XLOOKUP($A29,'2016-2017'!$B$4:$B$23,'2016-2017'!O$4:O$23)</f>
        <v>3</v>
      </c>
      <c r="O29">
        <f>_xlfn.XLOOKUP($A29,'2016-2017'!$B$4:$B$23,'2016-2017'!P$4:P$23)</f>
        <v>4</v>
      </c>
      <c r="P29">
        <f>_xlfn.XLOOKUP($A29,'2016-2017'!$B$4:$B$23,'2016-2017'!Q$4:Q$23)</f>
        <v>37</v>
      </c>
      <c r="Q29">
        <f>_xlfn.XLOOKUP($A29,'2016-2017'!$B$4:$B$23,'2016-2017'!R$4:R$23)</f>
        <v>0</v>
      </c>
      <c r="R29">
        <f>_xlfn.XLOOKUP($A29,'2016-2017'!$B$4:$B$23,'2016-2017'!S$4:S$23)</f>
        <v>4</v>
      </c>
      <c r="S29">
        <f>_xlfn.XLOOKUP($A29,'2016-2017'!$B$4:$B$23,'2016-2017'!T$4:T$23)</f>
        <v>75</v>
      </c>
      <c r="T29">
        <f>_xlfn.XLOOKUP($A29,'2016-2017'!$B$4:$B$23,'2016-2017'!U$4:U$23)</f>
        <v>0</v>
      </c>
      <c r="U29">
        <f>_xlfn.XLOOKUP($A29,'2016-2017'!$B$4:$B$23,'2016-2017'!V$4:V$23)</f>
        <v>9</v>
      </c>
      <c r="V29">
        <f>_xlfn.XLOOKUP($A29,'2016-2017'!$B$4:$B$23,'2016-2017'!W$4:W$23)</f>
        <v>82</v>
      </c>
      <c r="W29">
        <f>_xlfn.XLOOKUP($A29,'2016-2017'!$B$4:$B$23,'2016-2017'!X$4:X$23)</f>
        <v>919</v>
      </c>
      <c r="X29">
        <f>_xlfn.XLOOKUP($A29,'2016-2017'!$B$4:$B$23,'2016-2017'!Y$4:Y$23)</f>
        <v>675</v>
      </c>
      <c r="Y29">
        <f>_xlfn.XLOOKUP($A29,'2016-2017'!$B$4:$B$23,'2016-2017'!Z$4:Z$23)</f>
        <v>426</v>
      </c>
      <c r="Z29">
        <f>_xlfn.XLOOKUP($A29,'2016-2017'!$B$4:$B$23,'2016-2017'!AA$4:AA$23)</f>
        <v>18240</v>
      </c>
      <c r="AA29">
        <f>_xlfn.XLOOKUP($A29,'2016-2017'!$B$4:$B$23,'2016-2017'!AB$4:AB$23)</f>
        <v>58</v>
      </c>
      <c r="AB29">
        <f>_xlfn.XLOOKUP($A29,'2016-2017'!$B$4:$B$23,'2016-2017'!AC$4:AC$23)</f>
        <v>2784</v>
      </c>
      <c r="AC29">
        <f>_xlfn.XLOOKUP($A29,'2016-2017'!$B$4:$B$23,'2016-2017'!AD$4:AD$23)</f>
        <v>960</v>
      </c>
      <c r="AD29">
        <f>_xlfn.XLOOKUP($A29,'2016-2017'!$B$4:$B$23,'2016-2017'!AE$4:AE$23)</f>
        <v>198</v>
      </c>
      <c r="AE29">
        <f>_xlfn.XLOOKUP($A29,'2016-2017'!$B$4:$B$23,'2016-2017'!AF$4:AF$23)</f>
        <v>68.900000000000006</v>
      </c>
      <c r="AF29">
        <f>_xlfn.XLOOKUP($A29,'2016-2017'!$B$4:$B$23,'2016-2017'!AG$4:AG$23)</f>
        <v>85.05</v>
      </c>
      <c r="AG29">
        <f>_xlfn.XLOOKUP($A29,'2016-2017'!$B$4:$B$23,'2016-2017'!AH$4:AH$23)</f>
        <v>12</v>
      </c>
      <c r="AH29">
        <f>_xlfn.XLOOKUP($A29,'2016-2017'!$B$4:$B$23,'2016-2017'!AI$4:AI$23)</f>
        <v>9</v>
      </c>
      <c r="AI29">
        <f>_xlfn.XLOOKUP($A29,'2016-2017'!$B$4:$B$23,'2016-2017'!AJ$4:AJ$23)</f>
        <v>263.75</v>
      </c>
      <c r="AJ29">
        <f>_xlfn.XLOOKUP($A29,'2016-2017'!$B$4:$B$23,'2016-2017'!AK$4:AK$23)</f>
        <v>36</v>
      </c>
      <c r="AK29">
        <f>_xlfn.XLOOKUP($A29,'2016-2017'!$B$4:$B$23,'2016-2017'!AL$4:AL$23)</f>
        <v>7.3263888888888893</v>
      </c>
      <c r="AL29">
        <f>_xlfn.XLOOKUP($A29,'2016-2017'!$B$4:$B$23,'2016-2017'!AM$4:AM$23)</f>
        <v>30936</v>
      </c>
      <c r="AM29">
        <f>_xlfn.XLOOKUP($A29,'2016-2017'!$B$4:$B$23,'2016-2017'!AN$4:AN$23)</f>
        <v>-0.03</v>
      </c>
      <c r="AN29">
        <f>_xlfn.XLOOKUP($A29,'2016-2017'!$B$4:$B$23,'2016-2017'!AO$4:AO$23)</f>
        <v>1</v>
      </c>
      <c r="AO29">
        <f>_xlfn.XLOOKUP($A29,'2016-2017'!$B$4:$B$23,'2016-2017'!AP$4:AP$23)</f>
        <v>0</v>
      </c>
      <c r="AP29">
        <f>_xlfn.XLOOKUP($A29,'2016-2017'!$B$4:$B$23,'2016-2017'!AQ$4:AQ$23)</f>
        <v>0</v>
      </c>
      <c r="AQ29">
        <f>_xlfn.XLOOKUP($A29,'2016-2017'!$B$4:$B$23,'2016-2017'!AR$4:AR$23)</f>
        <v>0</v>
      </c>
      <c r="AR29">
        <f>_xlfn.XLOOKUP($A29,'2016-2017'!$B$4:$B$23,'2016-2017'!AS$4:AS$23)</f>
        <v>0</v>
      </c>
      <c r="AS29" t="str">
        <f>_xlfn.XLOOKUP($A29,'2016-2017'!$B$4:$B$23,'2016-2017'!AT$4:AT$23)</f>
        <v>16/17</v>
      </c>
    </row>
    <row r="30" spans="1:45" x14ac:dyDescent="0.25">
      <c r="A30">
        <v>9</v>
      </c>
      <c r="B30" t="str">
        <f>_xlfn.XLOOKUP($A30,'2016-2017'!$B$4:$B$23,'2016-2017'!C$4:C$23)</f>
        <v>AFC Bournemouth</v>
      </c>
      <c r="C30">
        <f>_xlfn.XLOOKUP($A30,'2016-2017'!$B$4:$B$23,'2016-2017'!D$4:D$23)</f>
        <v>55</v>
      </c>
      <c r="D30">
        <f>_xlfn.XLOOKUP($A30,'2016-2017'!$B$4:$B$23,'2016-2017'!E$4:E$23)</f>
        <v>67</v>
      </c>
      <c r="E30">
        <f>_xlfn.XLOOKUP($A30,'2016-2017'!$B$4:$B$23,'2016-2017'!F$4:F$23)</f>
        <v>-12</v>
      </c>
      <c r="F30">
        <f>_xlfn.XLOOKUP($A30,'2016-2017'!$B$4:$B$23,'2016-2017'!G$4:G$23)</f>
        <v>10</v>
      </c>
      <c r="G30">
        <f>_xlfn.XLOOKUP($A30,'2016-2017'!$B$4:$B$23,'2016-2017'!H$4:H$23)</f>
        <v>52</v>
      </c>
      <c r="H30">
        <f>_xlfn.XLOOKUP($A30,'2016-2017'!$B$4:$B$23,'2016-2017'!I$4:I$23)</f>
        <v>3</v>
      </c>
      <c r="I30" t="str">
        <f>_xlfn.XLOOKUP($A30,'2016-2017'!$B$4:$B$23,'2016-2017'!J$4:J$23)</f>
        <v>NA</v>
      </c>
      <c r="J30" t="str">
        <f>_xlfn.XLOOKUP($A30,'2016-2017'!$B$4:$B$23,'2016-2017'!K$4:K$23)</f>
        <v>NA</v>
      </c>
      <c r="K30" t="str">
        <f>_xlfn.XLOOKUP($A30,'2016-2017'!$B$4:$B$23,'2016-2017'!L$4:L$23)</f>
        <v>NA</v>
      </c>
      <c r="L30">
        <f>_xlfn.XLOOKUP($A30,'2016-2017'!$B$4:$B$23,'2016-2017'!M$4:M$23)</f>
        <v>452</v>
      </c>
      <c r="M30">
        <f>_xlfn.XLOOKUP($A30,'2016-2017'!$B$4:$B$23,'2016-2017'!N$4:N$23)</f>
        <v>160</v>
      </c>
      <c r="N30">
        <f>_xlfn.XLOOKUP($A30,'2016-2017'!$B$4:$B$23,'2016-2017'!O$4:O$23)</f>
        <v>7</v>
      </c>
      <c r="O30">
        <f>_xlfn.XLOOKUP($A30,'2016-2017'!$B$4:$B$23,'2016-2017'!P$4:P$23)</f>
        <v>5</v>
      </c>
      <c r="P30">
        <f>_xlfn.XLOOKUP($A30,'2016-2017'!$B$4:$B$23,'2016-2017'!Q$4:Q$23)</f>
        <v>51</v>
      </c>
      <c r="Q30">
        <f>_xlfn.XLOOKUP($A30,'2016-2017'!$B$4:$B$23,'2016-2017'!R$4:R$23)</f>
        <v>0</v>
      </c>
      <c r="R30">
        <f>_xlfn.XLOOKUP($A30,'2016-2017'!$B$4:$B$23,'2016-2017'!S$4:S$23)</f>
        <v>4</v>
      </c>
      <c r="S30">
        <f>_xlfn.XLOOKUP($A30,'2016-2017'!$B$4:$B$23,'2016-2017'!T$4:T$23)</f>
        <v>54</v>
      </c>
      <c r="T30">
        <f>_xlfn.XLOOKUP($A30,'2016-2017'!$B$4:$B$23,'2016-2017'!U$4:U$23)</f>
        <v>4</v>
      </c>
      <c r="U30">
        <f>_xlfn.XLOOKUP($A30,'2016-2017'!$B$4:$B$23,'2016-2017'!V$4:V$23)</f>
        <v>5</v>
      </c>
      <c r="V30">
        <f>_xlfn.XLOOKUP($A30,'2016-2017'!$B$4:$B$23,'2016-2017'!W$4:W$23)</f>
        <v>122</v>
      </c>
      <c r="W30">
        <f>_xlfn.XLOOKUP($A30,'2016-2017'!$B$4:$B$23,'2016-2017'!X$4:X$23)</f>
        <v>1091</v>
      </c>
      <c r="X30">
        <f>_xlfn.XLOOKUP($A30,'2016-2017'!$B$4:$B$23,'2016-2017'!Y$4:Y$23)</f>
        <v>605</v>
      </c>
      <c r="Y30">
        <f>_xlfn.XLOOKUP($A30,'2016-2017'!$B$4:$B$23,'2016-2017'!Z$4:Z$23)</f>
        <v>372</v>
      </c>
      <c r="Z30">
        <f>_xlfn.XLOOKUP($A30,'2016-2017'!$B$4:$B$23,'2016-2017'!AA$4:AA$23)</f>
        <v>17145</v>
      </c>
      <c r="AA30">
        <f>_xlfn.XLOOKUP($A30,'2016-2017'!$B$4:$B$23,'2016-2017'!AB$4:AB$23)</f>
        <v>51</v>
      </c>
      <c r="AB30">
        <f>_xlfn.XLOOKUP($A30,'2016-2017'!$B$4:$B$23,'2016-2017'!AC$4:AC$23)</f>
        <v>2651</v>
      </c>
      <c r="AC30">
        <f>_xlfn.XLOOKUP($A30,'2016-2017'!$B$4:$B$23,'2016-2017'!AD$4:AD$23)</f>
        <v>642</v>
      </c>
      <c r="AD30">
        <f>_xlfn.XLOOKUP($A30,'2016-2017'!$B$4:$B$23,'2016-2017'!AE$4:AE$23)</f>
        <v>193</v>
      </c>
      <c r="AE30">
        <f>_xlfn.XLOOKUP($A30,'2016-2017'!$B$4:$B$23,'2016-2017'!AF$4:AF$23)</f>
        <v>40.69</v>
      </c>
      <c r="AF30">
        <f>_xlfn.XLOOKUP($A30,'2016-2017'!$B$4:$B$23,'2016-2017'!AG$4:AG$23)</f>
        <v>23.69</v>
      </c>
      <c r="AG30">
        <f>_xlfn.XLOOKUP($A30,'2016-2017'!$B$4:$B$23,'2016-2017'!AH$4:AH$23)</f>
        <v>19</v>
      </c>
      <c r="AH30">
        <f>_xlfn.XLOOKUP($A30,'2016-2017'!$B$4:$B$23,'2016-2017'!AI$4:AI$23)</f>
        <v>30</v>
      </c>
      <c r="AI30">
        <f>_xlfn.XLOOKUP($A30,'2016-2017'!$B$4:$B$23,'2016-2017'!AJ$4:AJ$23)</f>
        <v>131.6</v>
      </c>
      <c r="AJ30">
        <f>_xlfn.XLOOKUP($A30,'2016-2017'!$B$4:$B$23,'2016-2017'!AK$4:AK$23)</f>
        <v>41</v>
      </c>
      <c r="AK30">
        <f>_xlfn.XLOOKUP($A30,'2016-2017'!$B$4:$B$23,'2016-2017'!AL$4:AL$23)</f>
        <v>3.2097560975609754</v>
      </c>
      <c r="AL30">
        <f>_xlfn.XLOOKUP($A30,'2016-2017'!$B$4:$B$23,'2016-2017'!AM$4:AM$23)</f>
        <v>11182</v>
      </c>
      <c r="AM30">
        <f>_xlfn.XLOOKUP($A30,'2016-2017'!$B$4:$B$23,'2016-2017'!AN$4:AN$23)</f>
        <v>0.2</v>
      </c>
      <c r="AN30">
        <f>_xlfn.XLOOKUP($A30,'2016-2017'!$B$4:$B$23,'2016-2017'!AO$4:AO$23)</f>
        <v>0</v>
      </c>
      <c r="AO30">
        <f>_xlfn.XLOOKUP($A30,'2016-2017'!$B$4:$B$23,'2016-2017'!AP$4:AP$23)</f>
        <v>0</v>
      </c>
      <c r="AP30">
        <f>_xlfn.XLOOKUP($A30,'2016-2017'!$B$4:$B$23,'2016-2017'!AQ$4:AQ$23)</f>
        <v>0</v>
      </c>
      <c r="AQ30">
        <f>_xlfn.XLOOKUP($A30,'2016-2017'!$B$4:$B$23,'2016-2017'!AR$4:AR$23)</f>
        <v>0</v>
      </c>
      <c r="AR30">
        <f>_xlfn.XLOOKUP($A30,'2016-2017'!$B$4:$B$23,'2016-2017'!AS$4:AS$23)</f>
        <v>0</v>
      </c>
      <c r="AS30" t="str">
        <f>_xlfn.XLOOKUP($A30,'2016-2017'!$B$4:$B$23,'2016-2017'!AT$4:AT$23)</f>
        <v>16/17</v>
      </c>
    </row>
    <row r="31" spans="1:45" x14ac:dyDescent="0.25">
      <c r="A31">
        <v>10</v>
      </c>
      <c r="B31" t="str">
        <f>_xlfn.XLOOKUP($A31,'2016-2017'!$B$4:$B$23,'2016-2017'!C$4:C$23)</f>
        <v>West Bromwich Albion</v>
      </c>
      <c r="C31">
        <f>_xlfn.XLOOKUP($A31,'2016-2017'!$B$4:$B$23,'2016-2017'!D$4:D$23)</f>
        <v>43</v>
      </c>
      <c r="D31">
        <f>_xlfn.XLOOKUP($A31,'2016-2017'!$B$4:$B$23,'2016-2017'!E$4:E$23)</f>
        <v>51</v>
      </c>
      <c r="E31">
        <f>_xlfn.XLOOKUP($A31,'2016-2017'!$B$4:$B$23,'2016-2017'!F$4:F$23)</f>
        <v>-8</v>
      </c>
      <c r="F31">
        <f>_xlfn.XLOOKUP($A31,'2016-2017'!$B$4:$B$23,'2016-2017'!G$4:G$23)</f>
        <v>6</v>
      </c>
      <c r="G31">
        <f>_xlfn.XLOOKUP($A31,'2016-2017'!$B$4:$B$23,'2016-2017'!H$4:H$23)</f>
        <v>80</v>
      </c>
      <c r="H31">
        <f>_xlfn.XLOOKUP($A31,'2016-2017'!$B$4:$B$23,'2016-2017'!I$4:I$23)</f>
        <v>0</v>
      </c>
      <c r="I31" t="str">
        <f>_xlfn.XLOOKUP($A31,'2016-2017'!$B$4:$B$23,'2016-2017'!J$4:J$23)</f>
        <v>NA</v>
      </c>
      <c r="J31" t="str">
        <f>_xlfn.XLOOKUP($A31,'2016-2017'!$B$4:$B$23,'2016-2017'!K$4:K$23)</f>
        <v>NA</v>
      </c>
      <c r="K31" t="str">
        <f>_xlfn.XLOOKUP($A31,'2016-2017'!$B$4:$B$23,'2016-2017'!L$4:L$23)</f>
        <v>NA</v>
      </c>
      <c r="L31">
        <f>_xlfn.XLOOKUP($A31,'2016-2017'!$B$4:$B$23,'2016-2017'!M$4:M$23)</f>
        <v>399</v>
      </c>
      <c r="M31">
        <f>_xlfn.XLOOKUP($A31,'2016-2017'!$B$4:$B$23,'2016-2017'!N$4:N$23)</f>
        <v>124</v>
      </c>
      <c r="N31">
        <f>_xlfn.XLOOKUP($A31,'2016-2017'!$B$4:$B$23,'2016-2017'!O$4:O$23)</f>
        <v>1</v>
      </c>
      <c r="O31">
        <f>_xlfn.XLOOKUP($A31,'2016-2017'!$B$4:$B$23,'2016-2017'!P$4:P$23)</f>
        <v>16</v>
      </c>
      <c r="P31">
        <f>_xlfn.XLOOKUP($A31,'2016-2017'!$B$4:$B$23,'2016-2017'!Q$4:Q$23)</f>
        <v>37</v>
      </c>
      <c r="Q31">
        <f>_xlfn.XLOOKUP($A31,'2016-2017'!$B$4:$B$23,'2016-2017'!R$4:R$23)</f>
        <v>0</v>
      </c>
      <c r="R31">
        <f>_xlfn.XLOOKUP($A31,'2016-2017'!$B$4:$B$23,'2016-2017'!S$4:S$23)</f>
        <v>6</v>
      </c>
      <c r="S31">
        <f>_xlfn.XLOOKUP($A31,'2016-2017'!$B$4:$B$23,'2016-2017'!T$4:T$23)</f>
        <v>61</v>
      </c>
      <c r="T31">
        <f>_xlfn.XLOOKUP($A31,'2016-2017'!$B$4:$B$23,'2016-2017'!U$4:U$23)</f>
        <v>1</v>
      </c>
      <c r="U31">
        <f>_xlfn.XLOOKUP($A31,'2016-2017'!$B$4:$B$23,'2016-2017'!V$4:V$23)</f>
        <v>3</v>
      </c>
      <c r="V31">
        <f>_xlfn.XLOOKUP($A31,'2016-2017'!$B$4:$B$23,'2016-2017'!W$4:W$23)</f>
        <v>109</v>
      </c>
      <c r="W31">
        <f>_xlfn.XLOOKUP($A31,'2016-2017'!$B$4:$B$23,'2016-2017'!X$4:X$23)</f>
        <v>997</v>
      </c>
      <c r="X31">
        <f>_xlfn.XLOOKUP($A31,'2016-2017'!$B$4:$B$23,'2016-2017'!Y$4:Y$23)</f>
        <v>607</v>
      </c>
      <c r="Y31">
        <f>_xlfn.XLOOKUP($A31,'2016-2017'!$B$4:$B$23,'2016-2017'!Z$4:Z$23)</f>
        <v>448</v>
      </c>
      <c r="Z31">
        <f>_xlfn.XLOOKUP($A31,'2016-2017'!$B$4:$B$23,'2016-2017'!AA$4:AA$23)</f>
        <v>11821</v>
      </c>
      <c r="AA31">
        <f>_xlfn.XLOOKUP($A31,'2016-2017'!$B$4:$B$23,'2016-2017'!AB$4:AB$23)</f>
        <v>37</v>
      </c>
      <c r="AB31">
        <f>_xlfn.XLOOKUP($A31,'2016-2017'!$B$4:$B$23,'2016-2017'!AC$4:AC$23)</f>
        <v>1800</v>
      </c>
      <c r="AC31">
        <f>_xlfn.XLOOKUP($A31,'2016-2017'!$B$4:$B$23,'2016-2017'!AD$4:AD$23)</f>
        <v>770</v>
      </c>
      <c r="AD31">
        <f>_xlfn.XLOOKUP($A31,'2016-2017'!$B$4:$B$23,'2016-2017'!AE$4:AE$23)</f>
        <v>159</v>
      </c>
      <c r="AE31">
        <f>_xlfn.XLOOKUP($A31,'2016-2017'!$B$4:$B$23,'2016-2017'!AF$4:AF$23)</f>
        <v>37.9</v>
      </c>
      <c r="AF31">
        <f>_xlfn.XLOOKUP($A31,'2016-2017'!$B$4:$B$23,'2016-2017'!AG$4:AG$23)</f>
        <v>26.98</v>
      </c>
      <c r="AG31">
        <f>_xlfn.XLOOKUP($A31,'2016-2017'!$B$4:$B$23,'2016-2017'!AH$4:AH$23)</f>
        <v>13</v>
      </c>
      <c r="AH31">
        <f>_xlfn.XLOOKUP($A31,'2016-2017'!$B$4:$B$23,'2016-2017'!AI$4:AI$23)</f>
        <v>14</v>
      </c>
      <c r="AI31">
        <f>_xlfn.XLOOKUP($A31,'2016-2017'!$B$4:$B$23,'2016-2017'!AJ$4:AJ$23)</f>
        <v>123.2</v>
      </c>
      <c r="AJ31">
        <f>_xlfn.XLOOKUP($A31,'2016-2017'!$B$4:$B$23,'2016-2017'!AK$4:AK$23)</f>
        <v>30</v>
      </c>
      <c r="AK31">
        <f>_xlfn.XLOOKUP($A31,'2016-2017'!$B$4:$B$23,'2016-2017'!AL$4:AL$23)</f>
        <v>4.1066666666666665</v>
      </c>
      <c r="AL31">
        <f>_xlfn.XLOOKUP($A31,'2016-2017'!$B$4:$B$23,'2016-2017'!AM$4:AM$23)</f>
        <v>23876</v>
      </c>
      <c r="AM31">
        <f>_xlfn.XLOOKUP($A31,'2016-2017'!$B$4:$B$23,'2016-2017'!AN$4:AN$23)</f>
        <v>0.2</v>
      </c>
      <c r="AN31">
        <f>_xlfn.XLOOKUP($A31,'2016-2017'!$B$4:$B$23,'2016-2017'!AO$4:AO$23)</f>
        <v>0</v>
      </c>
      <c r="AO31">
        <f>_xlfn.XLOOKUP($A31,'2016-2017'!$B$4:$B$23,'2016-2017'!AP$4:AP$23)</f>
        <v>0</v>
      </c>
      <c r="AP31">
        <f>_xlfn.XLOOKUP($A31,'2016-2017'!$B$4:$B$23,'2016-2017'!AQ$4:AQ$23)</f>
        <v>0</v>
      </c>
      <c r="AQ31">
        <f>_xlfn.XLOOKUP($A31,'2016-2017'!$B$4:$B$23,'2016-2017'!AR$4:AR$23)</f>
        <v>0</v>
      </c>
      <c r="AR31">
        <f>_xlfn.XLOOKUP($A31,'2016-2017'!$B$4:$B$23,'2016-2017'!AS$4:AS$23)</f>
        <v>0</v>
      </c>
      <c r="AS31" t="str">
        <f>_xlfn.XLOOKUP($A31,'2016-2017'!$B$4:$B$23,'2016-2017'!AT$4:AT$23)</f>
        <v>16/17</v>
      </c>
    </row>
    <row r="32" spans="1:45" x14ac:dyDescent="0.25">
      <c r="A32">
        <v>11</v>
      </c>
      <c r="B32" t="str">
        <f>_xlfn.XLOOKUP($A32,'2016-2017'!$B$4:$B$23,'2016-2017'!C$4:C$23)</f>
        <v>West Ham United</v>
      </c>
      <c r="C32">
        <f>_xlfn.XLOOKUP($A32,'2016-2017'!$B$4:$B$23,'2016-2017'!D$4:D$23)</f>
        <v>47</v>
      </c>
      <c r="D32">
        <f>_xlfn.XLOOKUP($A32,'2016-2017'!$B$4:$B$23,'2016-2017'!E$4:E$23)</f>
        <v>64</v>
      </c>
      <c r="E32">
        <f>_xlfn.XLOOKUP($A32,'2016-2017'!$B$4:$B$23,'2016-2017'!F$4:F$23)</f>
        <v>-17</v>
      </c>
      <c r="F32">
        <f>_xlfn.XLOOKUP($A32,'2016-2017'!$B$4:$B$23,'2016-2017'!G$4:G$23)</f>
        <v>10</v>
      </c>
      <c r="G32">
        <f>_xlfn.XLOOKUP($A32,'2016-2017'!$B$4:$B$23,'2016-2017'!H$4:H$23)</f>
        <v>78</v>
      </c>
      <c r="H32">
        <f>_xlfn.XLOOKUP($A32,'2016-2017'!$B$4:$B$23,'2016-2017'!I$4:I$23)</f>
        <v>5</v>
      </c>
      <c r="I32" t="str">
        <f>_xlfn.XLOOKUP($A32,'2016-2017'!$B$4:$B$23,'2016-2017'!J$4:J$23)</f>
        <v>NA</v>
      </c>
      <c r="J32" t="str">
        <f>_xlfn.XLOOKUP($A32,'2016-2017'!$B$4:$B$23,'2016-2017'!K$4:K$23)</f>
        <v>NA</v>
      </c>
      <c r="K32" t="str">
        <f>_xlfn.XLOOKUP($A32,'2016-2017'!$B$4:$B$23,'2016-2017'!L$4:L$23)</f>
        <v>NA</v>
      </c>
      <c r="L32">
        <f>_xlfn.XLOOKUP($A32,'2016-2017'!$B$4:$B$23,'2016-2017'!M$4:M$23)</f>
        <v>498</v>
      </c>
      <c r="M32">
        <f>_xlfn.XLOOKUP($A32,'2016-2017'!$B$4:$B$23,'2016-2017'!N$4:N$23)</f>
        <v>136</v>
      </c>
      <c r="N32">
        <f>_xlfn.XLOOKUP($A32,'2016-2017'!$B$4:$B$23,'2016-2017'!O$4:O$23)</f>
        <v>3</v>
      </c>
      <c r="O32">
        <f>_xlfn.XLOOKUP($A32,'2016-2017'!$B$4:$B$23,'2016-2017'!P$4:P$23)</f>
        <v>13</v>
      </c>
      <c r="P32">
        <f>_xlfn.XLOOKUP($A32,'2016-2017'!$B$4:$B$23,'2016-2017'!Q$4:Q$23)</f>
        <v>40</v>
      </c>
      <c r="Q32">
        <f>_xlfn.XLOOKUP($A32,'2016-2017'!$B$4:$B$23,'2016-2017'!R$4:R$23)</f>
        <v>0</v>
      </c>
      <c r="R32">
        <f>_xlfn.XLOOKUP($A32,'2016-2017'!$B$4:$B$23,'2016-2017'!S$4:S$23)</f>
        <v>7</v>
      </c>
      <c r="S32">
        <f>_xlfn.XLOOKUP($A32,'2016-2017'!$B$4:$B$23,'2016-2017'!T$4:T$23)</f>
        <v>80</v>
      </c>
      <c r="T32">
        <f>_xlfn.XLOOKUP($A32,'2016-2017'!$B$4:$B$23,'2016-2017'!U$4:U$23)</f>
        <v>0</v>
      </c>
      <c r="U32">
        <f>_xlfn.XLOOKUP($A32,'2016-2017'!$B$4:$B$23,'2016-2017'!V$4:V$23)</f>
        <v>8</v>
      </c>
      <c r="V32">
        <f>_xlfn.XLOOKUP($A32,'2016-2017'!$B$4:$B$23,'2016-2017'!W$4:W$23)</f>
        <v>118</v>
      </c>
      <c r="W32">
        <f>_xlfn.XLOOKUP($A32,'2016-2017'!$B$4:$B$23,'2016-2017'!X$4:X$23)</f>
        <v>1071</v>
      </c>
      <c r="X32">
        <f>_xlfn.XLOOKUP($A32,'2016-2017'!$B$4:$B$23,'2016-2017'!Y$4:Y$23)</f>
        <v>575</v>
      </c>
      <c r="Y32">
        <f>_xlfn.XLOOKUP($A32,'2016-2017'!$B$4:$B$23,'2016-2017'!Z$4:Z$23)</f>
        <v>408</v>
      </c>
      <c r="Z32">
        <f>_xlfn.XLOOKUP($A32,'2016-2017'!$B$4:$B$23,'2016-2017'!AA$4:AA$23)</f>
        <v>15134</v>
      </c>
      <c r="AA32">
        <f>_xlfn.XLOOKUP($A32,'2016-2017'!$B$4:$B$23,'2016-2017'!AB$4:AB$23)</f>
        <v>38</v>
      </c>
      <c r="AB32">
        <f>_xlfn.XLOOKUP($A32,'2016-2017'!$B$4:$B$23,'2016-2017'!AC$4:AC$23)</f>
        <v>2318</v>
      </c>
      <c r="AC32">
        <f>_xlfn.XLOOKUP($A32,'2016-2017'!$B$4:$B$23,'2016-2017'!AD$4:AD$23)</f>
        <v>759</v>
      </c>
      <c r="AD32">
        <f>_xlfn.XLOOKUP($A32,'2016-2017'!$B$4:$B$23,'2016-2017'!AE$4:AE$23)</f>
        <v>172</v>
      </c>
      <c r="AE32">
        <f>_xlfn.XLOOKUP($A32,'2016-2017'!$B$4:$B$23,'2016-2017'!AF$4:AF$23)</f>
        <v>83.5</v>
      </c>
      <c r="AF32">
        <f>_xlfn.XLOOKUP($A32,'2016-2017'!$B$4:$B$23,'2016-2017'!AG$4:AG$23)</f>
        <v>41</v>
      </c>
      <c r="AG32">
        <f>_xlfn.XLOOKUP($A32,'2016-2017'!$B$4:$B$23,'2016-2017'!AH$4:AH$23)</f>
        <v>22</v>
      </c>
      <c r="AH32">
        <f>_xlfn.XLOOKUP($A32,'2016-2017'!$B$4:$B$23,'2016-2017'!AI$4:AI$23)</f>
        <v>15</v>
      </c>
      <c r="AI32">
        <f>_xlfn.XLOOKUP($A32,'2016-2017'!$B$4:$B$23,'2016-2017'!AJ$4:AJ$23)</f>
        <v>273.05</v>
      </c>
      <c r="AJ32">
        <f>_xlfn.XLOOKUP($A32,'2016-2017'!$B$4:$B$23,'2016-2017'!AK$4:AK$23)</f>
        <v>44</v>
      </c>
      <c r="AK32">
        <f>_xlfn.XLOOKUP($A32,'2016-2017'!$B$4:$B$23,'2016-2017'!AL$4:AL$23)</f>
        <v>6.2056818181818185</v>
      </c>
      <c r="AL32">
        <f>_xlfn.XLOOKUP($A32,'2016-2017'!$B$4:$B$23,'2016-2017'!AM$4:AM$23)</f>
        <v>56972</v>
      </c>
      <c r="AM32">
        <f>_xlfn.XLOOKUP($A32,'2016-2017'!$B$4:$B$23,'2016-2017'!AN$4:AN$23)</f>
        <v>-0.08</v>
      </c>
      <c r="AN32">
        <f>_xlfn.XLOOKUP($A32,'2016-2017'!$B$4:$B$23,'2016-2017'!AO$4:AO$23)</f>
        <v>1</v>
      </c>
      <c r="AO32">
        <f>_xlfn.XLOOKUP($A32,'2016-2017'!$B$4:$B$23,'2016-2017'!AP$4:AP$23)</f>
        <v>0</v>
      </c>
      <c r="AP32">
        <f>_xlfn.XLOOKUP($A32,'2016-2017'!$B$4:$B$23,'2016-2017'!AQ$4:AQ$23)</f>
        <v>0</v>
      </c>
      <c r="AQ32">
        <f>_xlfn.XLOOKUP($A32,'2016-2017'!$B$4:$B$23,'2016-2017'!AR$4:AR$23)</f>
        <v>0</v>
      </c>
      <c r="AR32">
        <f>_xlfn.XLOOKUP($A32,'2016-2017'!$B$4:$B$23,'2016-2017'!AS$4:AS$23)</f>
        <v>0</v>
      </c>
      <c r="AS32" t="str">
        <f>_xlfn.XLOOKUP($A32,'2016-2017'!$B$4:$B$23,'2016-2017'!AT$4:AT$23)</f>
        <v>16/17</v>
      </c>
    </row>
    <row r="33" spans="1:45" x14ac:dyDescent="0.25">
      <c r="A33">
        <v>12</v>
      </c>
      <c r="B33" t="str">
        <f>_xlfn.XLOOKUP($A33,'2016-2017'!$B$4:$B$23,'2016-2017'!C$4:C$23)</f>
        <v>Leicester City</v>
      </c>
      <c r="C33">
        <f>_xlfn.XLOOKUP($A33,'2016-2017'!$B$4:$B$23,'2016-2017'!D$4:D$23)</f>
        <v>48</v>
      </c>
      <c r="D33">
        <f>_xlfn.XLOOKUP($A33,'2016-2017'!$B$4:$B$23,'2016-2017'!E$4:E$23)</f>
        <v>63</v>
      </c>
      <c r="E33">
        <f>_xlfn.XLOOKUP($A33,'2016-2017'!$B$4:$B$23,'2016-2017'!F$4:F$23)</f>
        <v>-15</v>
      </c>
      <c r="F33">
        <f>_xlfn.XLOOKUP($A33,'2016-2017'!$B$4:$B$23,'2016-2017'!G$4:G$23)</f>
        <v>9</v>
      </c>
      <c r="G33">
        <f>_xlfn.XLOOKUP($A33,'2016-2017'!$B$4:$B$23,'2016-2017'!H$4:H$23)</f>
        <v>72</v>
      </c>
      <c r="H33">
        <f>_xlfn.XLOOKUP($A33,'2016-2017'!$B$4:$B$23,'2016-2017'!I$4:I$23)</f>
        <v>1</v>
      </c>
      <c r="I33" t="str">
        <f>_xlfn.XLOOKUP($A33,'2016-2017'!$B$4:$B$23,'2016-2017'!J$4:J$23)</f>
        <v>NA</v>
      </c>
      <c r="J33" t="str">
        <f>_xlfn.XLOOKUP($A33,'2016-2017'!$B$4:$B$23,'2016-2017'!K$4:K$23)</f>
        <v>NA</v>
      </c>
      <c r="K33" t="str">
        <f>_xlfn.XLOOKUP($A33,'2016-2017'!$B$4:$B$23,'2016-2017'!L$4:L$23)</f>
        <v>NA</v>
      </c>
      <c r="L33">
        <f>_xlfn.XLOOKUP($A33,'2016-2017'!$B$4:$B$23,'2016-2017'!M$4:M$23)</f>
        <v>435</v>
      </c>
      <c r="M33">
        <f>_xlfn.XLOOKUP($A33,'2016-2017'!$B$4:$B$23,'2016-2017'!N$4:N$23)</f>
        <v>145</v>
      </c>
      <c r="N33">
        <f>_xlfn.XLOOKUP($A33,'2016-2017'!$B$4:$B$23,'2016-2017'!O$4:O$23)</f>
        <v>4</v>
      </c>
      <c r="O33">
        <f>_xlfn.XLOOKUP($A33,'2016-2017'!$B$4:$B$23,'2016-2017'!P$4:P$23)</f>
        <v>10</v>
      </c>
      <c r="P33">
        <f>_xlfn.XLOOKUP($A33,'2016-2017'!$B$4:$B$23,'2016-2017'!Q$4:Q$23)</f>
        <v>39</v>
      </c>
      <c r="Q33">
        <f>_xlfn.XLOOKUP($A33,'2016-2017'!$B$4:$B$23,'2016-2017'!R$4:R$23)</f>
        <v>0</v>
      </c>
      <c r="R33">
        <f>_xlfn.XLOOKUP($A33,'2016-2017'!$B$4:$B$23,'2016-2017'!S$4:S$23)</f>
        <v>9</v>
      </c>
      <c r="S33">
        <f>_xlfn.XLOOKUP($A33,'2016-2017'!$B$4:$B$23,'2016-2017'!T$4:T$23)</f>
        <v>65</v>
      </c>
      <c r="T33">
        <f>_xlfn.XLOOKUP($A33,'2016-2017'!$B$4:$B$23,'2016-2017'!U$4:U$23)</f>
        <v>2</v>
      </c>
      <c r="U33">
        <f>_xlfn.XLOOKUP($A33,'2016-2017'!$B$4:$B$23,'2016-2017'!V$4:V$23)</f>
        <v>3</v>
      </c>
      <c r="V33">
        <f>_xlfn.XLOOKUP($A33,'2016-2017'!$B$4:$B$23,'2016-2017'!W$4:W$23)</f>
        <v>127</v>
      </c>
      <c r="W33">
        <f>_xlfn.XLOOKUP($A33,'2016-2017'!$B$4:$B$23,'2016-2017'!X$4:X$23)</f>
        <v>1028</v>
      </c>
      <c r="X33">
        <f>_xlfn.XLOOKUP($A33,'2016-2017'!$B$4:$B$23,'2016-2017'!Y$4:Y$23)</f>
        <v>677</v>
      </c>
      <c r="Y33">
        <f>_xlfn.XLOOKUP($A33,'2016-2017'!$B$4:$B$23,'2016-2017'!Z$4:Z$23)</f>
        <v>447</v>
      </c>
      <c r="Z33">
        <f>_xlfn.XLOOKUP($A33,'2016-2017'!$B$4:$B$23,'2016-2017'!AA$4:AA$23)</f>
        <v>14558</v>
      </c>
      <c r="AA33">
        <f>_xlfn.XLOOKUP($A33,'2016-2017'!$B$4:$B$23,'2016-2017'!AB$4:AB$23)</f>
        <v>25</v>
      </c>
      <c r="AB33">
        <f>_xlfn.XLOOKUP($A33,'2016-2017'!$B$4:$B$23,'2016-2017'!AC$4:AC$23)</f>
        <v>1916</v>
      </c>
      <c r="AC33">
        <f>_xlfn.XLOOKUP($A33,'2016-2017'!$B$4:$B$23,'2016-2017'!AD$4:AD$23)</f>
        <v>735</v>
      </c>
      <c r="AD33">
        <f>_xlfn.XLOOKUP($A33,'2016-2017'!$B$4:$B$23,'2016-2017'!AE$4:AE$23)</f>
        <v>197</v>
      </c>
      <c r="AE33">
        <f>_xlfn.XLOOKUP($A33,'2016-2017'!$B$4:$B$23,'2016-2017'!AF$4:AF$23)</f>
        <v>92.1</v>
      </c>
      <c r="AF33">
        <f>_xlfn.XLOOKUP($A33,'2016-2017'!$B$4:$B$23,'2016-2017'!AG$4:AG$23)</f>
        <v>66.05</v>
      </c>
      <c r="AG33">
        <f>_xlfn.XLOOKUP($A33,'2016-2017'!$B$4:$B$23,'2016-2017'!AH$4:AH$23)</f>
        <v>17</v>
      </c>
      <c r="AH33">
        <f>_xlfn.XLOOKUP($A33,'2016-2017'!$B$4:$B$23,'2016-2017'!AI$4:AI$23)</f>
        <v>18</v>
      </c>
      <c r="AI33">
        <f>_xlfn.XLOOKUP($A33,'2016-2017'!$B$4:$B$23,'2016-2017'!AJ$4:AJ$23)</f>
        <v>218.65</v>
      </c>
      <c r="AJ33">
        <f>_xlfn.XLOOKUP($A33,'2016-2017'!$B$4:$B$23,'2016-2017'!AK$4:AK$23)</f>
        <v>31</v>
      </c>
      <c r="AK33">
        <f>_xlfn.XLOOKUP($A33,'2016-2017'!$B$4:$B$23,'2016-2017'!AL$4:AL$23)</f>
        <v>7.0532258064516133</v>
      </c>
      <c r="AL33">
        <f>_xlfn.XLOOKUP($A33,'2016-2017'!$B$4:$B$23,'2016-2017'!AM$4:AM$23)</f>
        <v>31893</v>
      </c>
      <c r="AM33">
        <f>_xlfn.XLOOKUP($A33,'2016-2017'!$B$4:$B$23,'2016-2017'!AN$4:AN$23)</f>
        <v>0.25</v>
      </c>
      <c r="AN33">
        <f>_xlfn.XLOOKUP($A33,'2016-2017'!$B$4:$B$23,'2016-2017'!AO$4:AO$23)</f>
        <v>1</v>
      </c>
      <c r="AO33">
        <f>_xlfn.XLOOKUP($A33,'2016-2017'!$B$4:$B$23,'2016-2017'!AP$4:AP$23)</f>
        <v>0</v>
      </c>
      <c r="AP33">
        <f>_xlfn.XLOOKUP($A33,'2016-2017'!$B$4:$B$23,'2016-2017'!AQ$4:AQ$23)</f>
        <v>0</v>
      </c>
      <c r="AQ33">
        <f>_xlfn.XLOOKUP($A33,'2016-2017'!$B$4:$B$23,'2016-2017'!AR$4:AR$23)</f>
        <v>0</v>
      </c>
      <c r="AR33">
        <f>_xlfn.XLOOKUP($A33,'2016-2017'!$B$4:$B$23,'2016-2017'!AS$4:AS$23)</f>
        <v>0</v>
      </c>
      <c r="AS33" t="str">
        <f>_xlfn.XLOOKUP($A33,'2016-2017'!$B$4:$B$23,'2016-2017'!AT$4:AT$23)</f>
        <v>16/17</v>
      </c>
    </row>
    <row r="34" spans="1:45" x14ac:dyDescent="0.25">
      <c r="A34">
        <v>13</v>
      </c>
      <c r="B34" t="str">
        <f>_xlfn.XLOOKUP($A34,'2016-2017'!$B$4:$B$23,'2016-2017'!C$4:C$23)</f>
        <v>Stoke City</v>
      </c>
      <c r="C34">
        <f>_xlfn.XLOOKUP($A34,'2016-2017'!$B$4:$B$23,'2016-2017'!D$4:D$23)</f>
        <v>41</v>
      </c>
      <c r="D34">
        <f>_xlfn.XLOOKUP($A34,'2016-2017'!$B$4:$B$23,'2016-2017'!E$4:E$23)</f>
        <v>56</v>
      </c>
      <c r="E34">
        <f>_xlfn.XLOOKUP($A34,'2016-2017'!$B$4:$B$23,'2016-2017'!F$4:F$23)</f>
        <v>-15</v>
      </c>
      <c r="F34">
        <f>_xlfn.XLOOKUP($A34,'2016-2017'!$B$4:$B$23,'2016-2017'!G$4:G$23)</f>
        <v>11</v>
      </c>
      <c r="G34">
        <f>_xlfn.XLOOKUP($A34,'2016-2017'!$B$4:$B$23,'2016-2017'!H$4:H$23)</f>
        <v>70</v>
      </c>
      <c r="H34">
        <f>_xlfn.XLOOKUP($A34,'2016-2017'!$B$4:$B$23,'2016-2017'!I$4:I$23)</f>
        <v>2</v>
      </c>
      <c r="I34" t="str">
        <f>_xlfn.XLOOKUP($A34,'2016-2017'!$B$4:$B$23,'2016-2017'!J$4:J$23)</f>
        <v>NA</v>
      </c>
      <c r="J34" t="str">
        <f>_xlfn.XLOOKUP($A34,'2016-2017'!$B$4:$B$23,'2016-2017'!K$4:K$23)</f>
        <v>NA</v>
      </c>
      <c r="K34" t="str">
        <f>_xlfn.XLOOKUP($A34,'2016-2017'!$B$4:$B$23,'2016-2017'!L$4:L$23)</f>
        <v>NA</v>
      </c>
      <c r="L34">
        <f>_xlfn.XLOOKUP($A34,'2016-2017'!$B$4:$B$23,'2016-2017'!M$4:M$23)</f>
        <v>426</v>
      </c>
      <c r="M34">
        <f>_xlfn.XLOOKUP($A34,'2016-2017'!$B$4:$B$23,'2016-2017'!N$4:N$23)</f>
        <v>135</v>
      </c>
      <c r="N34">
        <f>_xlfn.XLOOKUP($A34,'2016-2017'!$B$4:$B$23,'2016-2017'!O$4:O$23)</f>
        <v>4</v>
      </c>
      <c r="O34">
        <f>_xlfn.XLOOKUP($A34,'2016-2017'!$B$4:$B$23,'2016-2017'!P$4:P$23)</f>
        <v>7</v>
      </c>
      <c r="P34">
        <f>_xlfn.XLOOKUP($A34,'2016-2017'!$B$4:$B$23,'2016-2017'!Q$4:Q$23)</f>
        <v>36</v>
      </c>
      <c r="Q34">
        <f>_xlfn.XLOOKUP($A34,'2016-2017'!$B$4:$B$23,'2016-2017'!R$4:R$23)</f>
        <v>0</v>
      </c>
      <c r="R34">
        <f>_xlfn.XLOOKUP($A34,'2016-2017'!$B$4:$B$23,'2016-2017'!S$4:S$23)</f>
        <v>5</v>
      </c>
      <c r="S34">
        <f>_xlfn.XLOOKUP($A34,'2016-2017'!$B$4:$B$23,'2016-2017'!T$4:T$23)</f>
        <v>87</v>
      </c>
      <c r="T34">
        <f>_xlfn.XLOOKUP($A34,'2016-2017'!$B$4:$B$23,'2016-2017'!U$4:U$23)</f>
        <v>5</v>
      </c>
      <c r="U34">
        <f>_xlfn.XLOOKUP($A34,'2016-2017'!$B$4:$B$23,'2016-2017'!V$4:V$23)</f>
        <v>2</v>
      </c>
      <c r="V34">
        <f>_xlfn.XLOOKUP($A34,'2016-2017'!$B$4:$B$23,'2016-2017'!W$4:W$23)</f>
        <v>124</v>
      </c>
      <c r="W34">
        <f>_xlfn.XLOOKUP($A34,'2016-2017'!$B$4:$B$23,'2016-2017'!X$4:X$23)</f>
        <v>1009</v>
      </c>
      <c r="X34">
        <f>_xlfn.XLOOKUP($A34,'2016-2017'!$B$4:$B$23,'2016-2017'!Y$4:Y$23)</f>
        <v>665</v>
      </c>
      <c r="Y34">
        <f>_xlfn.XLOOKUP($A34,'2016-2017'!$B$4:$B$23,'2016-2017'!Z$4:Z$23)</f>
        <v>434</v>
      </c>
      <c r="Z34">
        <f>_xlfn.XLOOKUP($A34,'2016-2017'!$B$4:$B$23,'2016-2017'!AA$4:AA$23)</f>
        <v>14558</v>
      </c>
      <c r="AA34">
        <f>_xlfn.XLOOKUP($A34,'2016-2017'!$B$4:$B$23,'2016-2017'!AB$4:AB$23)</f>
        <v>53</v>
      </c>
      <c r="AB34">
        <f>_xlfn.XLOOKUP($A34,'2016-2017'!$B$4:$B$23,'2016-2017'!AC$4:AC$23)</f>
        <v>2170</v>
      </c>
      <c r="AC34">
        <f>_xlfn.XLOOKUP($A34,'2016-2017'!$B$4:$B$23,'2016-2017'!AD$4:AD$23)</f>
        <v>725</v>
      </c>
      <c r="AD34">
        <f>_xlfn.XLOOKUP($A34,'2016-2017'!$B$4:$B$23,'2016-2017'!AE$4:AE$23)</f>
        <v>188</v>
      </c>
      <c r="AE34">
        <f>_xlfn.XLOOKUP($A34,'2016-2017'!$B$4:$B$23,'2016-2017'!AF$4:AF$23)</f>
        <v>38.78</v>
      </c>
      <c r="AF34">
        <f>_xlfn.XLOOKUP($A34,'2016-2017'!$B$4:$B$23,'2016-2017'!AG$4:AG$23)</f>
        <v>3.8</v>
      </c>
      <c r="AG34">
        <f>_xlfn.XLOOKUP($A34,'2016-2017'!$B$4:$B$23,'2016-2017'!AH$4:AH$23)</f>
        <v>14</v>
      </c>
      <c r="AH34">
        <f>_xlfn.XLOOKUP($A34,'2016-2017'!$B$4:$B$23,'2016-2017'!AI$4:AI$23)</f>
        <v>13</v>
      </c>
      <c r="AI34">
        <f>_xlfn.XLOOKUP($A34,'2016-2017'!$B$4:$B$23,'2016-2017'!AJ$4:AJ$23)</f>
        <v>186</v>
      </c>
      <c r="AJ34">
        <f>_xlfn.XLOOKUP($A34,'2016-2017'!$B$4:$B$23,'2016-2017'!AK$4:AK$23)</f>
        <v>34</v>
      </c>
      <c r="AK34">
        <f>_xlfn.XLOOKUP($A34,'2016-2017'!$B$4:$B$23,'2016-2017'!AL$4:AL$23)</f>
        <v>5.4705882352941178</v>
      </c>
      <c r="AL34">
        <f>_xlfn.XLOOKUP($A34,'2016-2017'!$B$4:$B$23,'2016-2017'!AM$4:AM$23)</f>
        <v>27433</v>
      </c>
      <c r="AM34">
        <f>_xlfn.XLOOKUP($A34,'2016-2017'!$B$4:$B$23,'2016-2017'!AN$4:AN$23)</f>
        <v>0.16</v>
      </c>
      <c r="AN34">
        <f>_xlfn.XLOOKUP($A34,'2016-2017'!$B$4:$B$23,'2016-2017'!AO$4:AO$23)</f>
        <v>0</v>
      </c>
      <c r="AO34">
        <f>_xlfn.XLOOKUP($A34,'2016-2017'!$B$4:$B$23,'2016-2017'!AP$4:AP$23)</f>
        <v>0</v>
      </c>
      <c r="AP34">
        <f>_xlfn.XLOOKUP($A34,'2016-2017'!$B$4:$B$23,'2016-2017'!AQ$4:AQ$23)</f>
        <v>0</v>
      </c>
      <c r="AQ34">
        <f>_xlfn.XLOOKUP($A34,'2016-2017'!$B$4:$B$23,'2016-2017'!AR$4:AR$23)</f>
        <v>0</v>
      </c>
      <c r="AR34">
        <f>_xlfn.XLOOKUP($A34,'2016-2017'!$B$4:$B$23,'2016-2017'!AS$4:AS$23)</f>
        <v>0</v>
      </c>
      <c r="AS34" t="str">
        <f>_xlfn.XLOOKUP($A34,'2016-2017'!$B$4:$B$23,'2016-2017'!AT$4:AT$23)</f>
        <v>16/17</v>
      </c>
    </row>
    <row r="35" spans="1:45" x14ac:dyDescent="0.25">
      <c r="A35">
        <v>14</v>
      </c>
      <c r="B35" t="str">
        <f>_xlfn.XLOOKUP($A35,'2016-2017'!$B$4:$B$23,'2016-2017'!C$4:C$23)</f>
        <v>Crystal Palace</v>
      </c>
      <c r="C35">
        <f>_xlfn.XLOOKUP($A35,'2016-2017'!$B$4:$B$23,'2016-2017'!D$4:D$23)</f>
        <v>50</v>
      </c>
      <c r="D35">
        <f>_xlfn.XLOOKUP($A35,'2016-2017'!$B$4:$B$23,'2016-2017'!E$4:E$23)</f>
        <v>63</v>
      </c>
      <c r="E35">
        <f>_xlfn.XLOOKUP($A35,'2016-2017'!$B$4:$B$23,'2016-2017'!F$4:F$23)</f>
        <v>-13</v>
      </c>
      <c r="F35">
        <f>_xlfn.XLOOKUP($A35,'2016-2017'!$B$4:$B$23,'2016-2017'!G$4:G$23)</f>
        <v>7</v>
      </c>
      <c r="G35">
        <f>_xlfn.XLOOKUP($A35,'2016-2017'!$B$4:$B$23,'2016-2017'!H$4:H$23)</f>
        <v>77</v>
      </c>
      <c r="H35">
        <f>_xlfn.XLOOKUP($A35,'2016-2017'!$B$4:$B$23,'2016-2017'!I$4:I$23)</f>
        <v>0</v>
      </c>
      <c r="I35" t="str">
        <f>_xlfn.XLOOKUP($A35,'2016-2017'!$B$4:$B$23,'2016-2017'!J$4:J$23)</f>
        <v>NA</v>
      </c>
      <c r="J35" t="str">
        <f>_xlfn.XLOOKUP($A35,'2016-2017'!$B$4:$B$23,'2016-2017'!K$4:K$23)</f>
        <v>NA</v>
      </c>
      <c r="K35" t="str">
        <f>_xlfn.XLOOKUP($A35,'2016-2017'!$B$4:$B$23,'2016-2017'!L$4:L$23)</f>
        <v>NA</v>
      </c>
      <c r="L35">
        <f>_xlfn.XLOOKUP($A35,'2016-2017'!$B$4:$B$23,'2016-2017'!M$4:M$23)</f>
        <v>441</v>
      </c>
      <c r="M35">
        <f>_xlfn.XLOOKUP($A35,'2016-2017'!$B$4:$B$23,'2016-2017'!N$4:N$23)</f>
        <v>137</v>
      </c>
      <c r="N35">
        <f>_xlfn.XLOOKUP($A35,'2016-2017'!$B$4:$B$23,'2016-2017'!O$4:O$23)</f>
        <v>4</v>
      </c>
      <c r="O35">
        <f>_xlfn.XLOOKUP($A35,'2016-2017'!$B$4:$B$23,'2016-2017'!P$4:P$23)</f>
        <v>13</v>
      </c>
      <c r="P35">
        <f>_xlfn.XLOOKUP($A35,'2016-2017'!$B$4:$B$23,'2016-2017'!Q$4:Q$23)</f>
        <v>48</v>
      </c>
      <c r="Q35">
        <f>_xlfn.XLOOKUP($A35,'2016-2017'!$B$4:$B$23,'2016-2017'!R$4:R$23)</f>
        <v>0</v>
      </c>
      <c r="R35">
        <f>_xlfn.XLOOKUP($A35,'2016-2017'!$B$4:$B$23,'2016-2017'!S$4:S$23)</f>
        <v>2</v>
      </c>
      <c r="S35">
        <f>_xlfn.XLOOKUP($A35,'2016-2017'!$B$4:$B$23,'2016-2017'!T$4:T$23)</f>
        <v>57</v>
      </c>
      <c r="T35">
        <f>_xlfn.XLOOKUP($A35,'2016-2017'!$B$4:$B$23,'2016-2017'!U$4:U$23)</f>
        <v>0</v>
      </c>
      <c r="U35">
        <f>_xlfn.XLOOKUP($A35,'2016-2017'!$B$4:$B$23,'2016-2017'!V$4:V$23)</f>
        <v>2</v>
      </c>
      <c r="V35">
        <f>_xlfn.XLOOKUP($A35,'2016-2017'!$B$4:$B$23,'2016-2017'!W$4:W$23)</f>
        <v>113</v>
      </c>
      <c r="W35">
        <f>_xlfn.XLOOKUP($A35,'2016-2017'!$B$4:$B$23,'2016-2017'!X$4:X$23)</f>
        <v>1022</v>
      </c>
      <c r="X35">
        <f>_xlfn.XLOOKUP($A35,'2016-2017'!$B$4:$B$23,'2016-2017'!Y$4:Y$23)</f>
        <v>698</v>
      </c>
      <c r="Y35">
        <f>_xlfn.XLOOKUP($A35,'2016-2017'!$B$4:$B$23,'2016-2017'!Z$4:Z$23)</f>
        <v>471</v>
      </c>
      <c r="Z35">
        <f>_xlfn.XLOOKUP($A35,'2016-2017'!$B$4:$B$23,'2016-2017'!AA$4:AA$23)</f>
        <v>13543</v>
      </c>
      <c r="AA35">
        <f>_xlfn.XLOOKUP($A35,'2016-2017'!$B$4:$B$23,'2016-2017'!AB$4:AB$23)</f>
        <v>20</v>
      </c>
      <c r="AB35">
        <f>_xlfn.XLOOKUP($A35,'2016-2017'!$B$4:$B$23,'2016-2017'!AC$4:AC$23)</f>
        <v>2108</v>
      </c>
      <c r="AC35">
        <f>_xlfn.XLOOKUP($A35,'2016-2017'!$B$4:$B$23,'2016-2017'!AD$4:AD$23)</f>
        <v>880</v>
      </c>
      <c r="AD35">
        <f>_xlfn.XLOOKUP($A35,'2016-2017'!$B$4:$B$23,'2016-2017'!AE$4:AE$23)</f>
        <v>203</v>
      </c>
      <c r="AE35">
        <f>_xlfn.XLOOKUP($A35,'2016-2017'!$B$4:$B$23,'2016-2017'!AF$4:AF$23)</f>
        <v>101.2</v>
      </c>
      <c r="AF35">
        <f>_xlfn.XLOOKUP($A35,'2016-2017'!$B$4:$B$23,'2016-2017'!AG$4:AG$23)</f>
        <v>50.2</v>
      </c>
      <c r="AG35">
        <f>_xlfn.XLOOKUP($A35,'2016-2017'!$B$4:$B$23,'2016-2017'!AH$4:AH$23)</f>
        <v>22</v>
      </c>
      <c r="AH35">
        <f>_xlfn.XLOOKUP($A35,'2016-2017'!$B$4:$B$23,'2016-2017'!AI$4:AI$23)</f>
        <v>24</v>
      </c>
      <c r="AI35">
        <f>_xlfn.XLOOKUP($A35,'2016-2017'!$B$4:$B$23,'2016-2017'!AJ$4:AJ$23)</f>
        <v>228.43</v>
      </c>
      <c r="AJ35">
        <f>_xlfn.XLOOKUP($A35,'2016-2017'!$B$4:$B$23,'2016-2017'!AK$4:AK$23)</f>
        <v>45</v>
      </c>
      <c r="AK35">
        <f>_xlfn.XLOOKUP($A35,'2016-2017'!$B$4:$B$23,'2016-2017'!AL$4:AL$23)</f>
        <v>5.0762222222222224</v>
      </c>
      <c r="AL35">
        <f>_xlfn.XLOOKUP($A35,'2016-2017'!$B$4:$B$23,'2016-2017'!AM$4:AM$23)</f>
        <v>25161</v>
      </c>
      <c r="AM35">
        <f>_xlfn.XLOOKUP($A35,'2016-2017'!$B$4:$B$23,'2016-2017'!AN$4:AN$23)</f>
        <v>0.08</v>
      </c>
      <c r="AN35">
        <f>_xlfn.XLOOKUP($A35,'2016-2017'!$B$4:$B$23,'2016-2017'!AO$4:AO$23)</f>
        <v>0</v>
      </c>
      <c r="AO35">
        <f>_xlfn.XLOOKUP($A35,'2016-2017'!$B$4:$B$23,'2016-2017'!AP$4:AP$23)</f>
        <v>0</v>
      </c>
      <c r="AP35">
        <f>_xlfn.XLOOKUP($A35,'2016-2017'!$B$4:$B$23,'2016-2017'!AQ$4:AQ$23)</f>
        <v>0</v>
      </c>
      <c r="AQ35">
        <f>_xlfn.XLOOKUP($A35,'2016-2017'!$B$4:$B$23,'2016-2017'!AR$4:AR$23)</f>
        <v>0</v>
      </c>
      <c r="AR35">
        <f>_xlfn.XLOOKUP($A35,'2016-2017'!$B$4:$B$23,'2016-2017'!AS$4:AS$23)</f>
        <v>0</v>
      </c>
      <c r="AS35" t="str">
        <f>_xlfn.XLOOKUP($A35,'2016-2017'!$B$4:$B$23,'2016-2017'!AT$4:AT$23)</f>
        <v>16/17</v>
      </c>
    </row>
    <row r="36" spans="1:45" x14ac:dyDescent="0.25">
      <c r="A36">
        <v>15</v>
      </c>
      <c r="B36" t="str">
        <f>_xlfn.XLOOKUP($A36,'2016-2017'!$B$4:$B$23,'2016-2017'!C$4:C$23)</f>
        <v>Swansea City</v>
      </c>
      <c r="C36">
        <f>_xlfn.XLOOKUP($A36,'2016-2017'!$B$4:$B$23,'2016-2017'!D$4:D$23)</f>
        <v>45</v>
      </c>
      <c r="D36">
        <f>_xlfn.XLOOKUP($A36,'2016-2017'!$B$4:$B$23,'2016-2017'!E$4:E$23)</f>
        <v>70</v>
      </c>
      <c r="E36">
        <f>_xlfn.XLOOKUP($A36,'2016-2017'!$B$4:$B$23,'2016-2017'!F$4:F$23)</f>
        <v>-25</v>
      </c>
      <c r="F36">
        <f>_xlfn.XLOOKUP($A36,'2016-2017'!$B$4:$B$23,'2016-2017'!G$4:G$23)</f>
        <v>8</v>
      </c>
      <c r="G36">
        <f>_xlfn.XLOOKUP($A36,'2016-2017'!$B$4:$B$23,'2016-2017'!H$4:H$23)</f>
        <v>56</v>
      </c>
      <c r="H36">
        <f>_xlfn.XLOOKUP($A36,'2016-2017'!$B$4:$B$23,'2016-2017'!I$4:I$23)</f>
        <v>0</v>
      </c>
      <c r="I36" t="str">
        <f>_xlfn.XLOOKUP($A36,'2016-2017'!$B$4:$B$23,'2016-2017'!J$4:J$23)</f>
        <v>NA</v>
      </c>
      <c r="J36" t="str">
        <f>_xlfn.XLOOKUP($A36,'2016-2017'!$B$4:$B$23,'2016-2017'!K$4:K$23)</f>
        <v>NA</v>
      </c>
      <c r="K36" t="str">
        <f>_xlfn.XLOOKUP($A36,'2016-2017'!$B$4:$B$23,'2016-2017'!L$4:L$23)</f>
        <v>NA</v>
      </c>
      <c r="L36">
        <f>_xlfn.XLOOKUP($A36,'2016-2017'!$B$4:$B$23,'2016-2017'!M$4:M$23)</f>
        <v>403</v>
      </c>
      <c r="M36">
        <f>_xlfn.XLOOKUP($A36,'2016-2017'!$B$4:$B$23,'2016-2017'!N$4:N$23)</f>
        <v>145</v>
      </c>
      <c r="N36">
        <f>_xlfn.XLOOKUP($A36,'2016-2017'!$B$4:$B$23,'2016-2017'!O$4:O$23)</f>
        <v>3</v>
      </c>
      <c r="O36">
        <f>_xlfn.XLOOKUP($A36,'2016-2017'!$B$4:$B$23,'2016-2017'!P$4:P$23)</f>
        <v>14</v>
      </c>
      <c r="P36">
        <f>_xlfn.XLOOKUP($A36,'2016-2017'!$B$4:$B$23,'2016-2017'!Q$4:Q$23)</f>
        <v>40</v>
      </c>
      <c r="Q36">
        <f>_xlfn.XLOOKUP($A36,'2016-2017'!$B$4:$B$23,'2016-2017'!R$4:R$23)</f>
        <v>0</v>
      </c>
      <c r="R36">
        <f>_xlfn.XLOOKUP($A36,'2016-2017'!$B$4:$B$23,'2016-2017'!S$4:S$23)</f>
        <v>5</v>
      </c>
      <c r="S36">
        <f>_xlfn.XLOOKUP($A36,'2016-2017'!$B$4:$B$23,'2016-2017'!T$4:T$23)</f>
        <v>50</v>
      </c>
      <c r="T36">
        <f>_xlfn.XLOOKUP($A36,'2016-2017'!$B$4:$B$23,'2016-2017'!U$4:U$23)</f>
        <v>5</v>
      </c>
      <c r="U36">
        <f>_xlfn.XLOOKUP($A36,'2016-2017'!$B$4:$B$23,'2016-2017'!V$4:V$23)</f>
        <v>8</v>
      </c>
      <c r="V36">
        <f>_xlfn.XLOOKUP($A36,'2016-2017'!$B$4:$B$23,'2016-2017'!W$4:W$23)</f>
        <v>109</v>
      </c>
      <c r="W36">
        <f>_xlfn.XLOOKUP($A36,'2016-2017'!$B$4:$B$23,'2016-2017'!X$4:X$23)</f>
        <v>1039</v>
      </c>
      <c r="X36">
        <f>_xlfn.XLOOKUP($A36,'2016-2017'!$B$4:$B$23,'2016-2017'!Y$4:Y$23)</f>
        <v>634</v>
      </c>
      <c r="Y36">
        <f>_xlfn.XLOOKUP($A36,'2016-2017'!$B$4:$B$23,'2016-2017'!Z$4:Z$23)</f>
        <v>399</v>
      </c>
      <c r="Z36">
        <f>_xlfn.XLOOKUP($A36,'2016-2017'!$B$4:$B$23,'2016-2017'!AA$4:AA$23)</f>
        <v>16125</v>
      </c>
      <c r="AA36">
        <f>_xlfn.XLOOKUP($A36,'2016-2017'!$B$4:$B$23,'2016-2017'!AB$4:AB$23)</f>
        <v>15</v>
      </c>
      <c r="AB36">
        <f>_xlfn.XLOOKUP($A36,'2016-2017'!$B$4:$B$23,'2016-2017'!AC$4:AC$23)</f>
        <v>2494</v>
      </c>
      <c r="AC36">
        <f>_xlfn.XLOOKUP($A36,'2016-2017'!$B$4:$B$23,'2016-2017'!AD$4:AD$23)</f>
        <v>867</v>
      </c>
      <c r="AD36">
        <f>_xlfn.XLOOKUP($A36,'2016-2017'!$B$4:$B$23,'2016-2017'!AE$4:AE$23)</f>
        <v>196</v>
      </c>
      <c r="AE36">
        <f>_xlfn.XLOOKUP($A36,'2016-2017'!$B$4:$B$23,'2016-2017'!AF$4:AF$23)</f>
        <v>58.1</v>
      </c>
      <c r="AF36">
        <f>_xlfn.XLOOKUP($A36,'2016-2017'!$B$4:$B$23,'2016-2017'!AG$4:AG$23)</f>
        <v>49.3</v>
      </c>
      <c r="AG36">
        <f>_xlfn.XLOOKUP($A36,'2016-2017'!$B$4:$B$23,'2016-2017'!AH$4:AH$23)</f>
        <v>21</v>
      </c>
      <c r="AH36">
        <f>_xlfn.XLOOKUP($A36,'2016-2017'!$B$4:$B$23,'2016-2017'!AI$4:AI$23)</f>
        <v>17</v>
      </c>
      <c r="AI36">
        <f>_xlfn.XLOOKUP($A36,'2016-2017'!$B$4:$B$23,'2016-2017'!AJ$4:AJ$23)</f>
        <v>157.1</v>
      </c>
      <c r="AJ36">
        <f>_xlfn.XLOOKUP($A36,'2016-2017'!$B$4:$B$23,'2016-2017'!AK$4:AK$23)</f>
        <v>37</v>
      </c>
      <c r="AK36">
        <f>_xlfn.XLOOKUP($A36,'2016-2017'!$B$4:$B$23,'2016-2017'!AL$4:AL$23)</f>
        <v>4.2459459459459454</v>
      </c>
      <c r="AL36">
        <f>_xlfn.XLOOKUP($A36,'2016-2017'!$B$4:$B$23,'2016-2017'!AM$4:AM$23)</f>
        <v>20619</v>
      </c>
      <c r="AM36">
        <f>_xlfn.XLOOKUP($A36,'2016-2017'!$B$4:$B$23,'2016-2017'!AN$4:AN$23)</f>
        <v>0.12</v>
      </c>
      <c r="AN36">
        <f>_xlfn.XLOOKUP($A36,'2016-2017'!$B$4:$B$23,'2016-2017'!AO$4:AO$23)</f>
        <v>0</v>
      </c>
      <c r="AO36">
        <f>_xlfn.XLOOKUP($A36,'2016-2017'!$B$4:$B$23,'2016-2017'!AP$4:AP$23)</f>
        <v>0</v>
      </c>
      <c r="AP36">
        <f>_xlfn.XLOOKUP($A36,'2016-2017'!$B$4:$B$23,'2016-2017'!AQ$4:AQ$23)</f>
        <v>0</v>
      </c>
      <c r="AQ36">
        <f>_xlfn.XLOOKUP($A36,'2016-2017'!$B$4:$B$23,'2016-2017'!AR$4:AR$23)</f>
        <v>0</v>
      </c>
      <c r="AR36">
        <f>_xlfn.XLOOKUP($A36,'2016-2017'!$B$4:$B$23,'2016-2017'!AS$4:AS$23)</f>
        <v>0</v>
      </c>
      <c r="AS36" t="str">
        <f>_xlfn.XLOOKUP($A36,'2016-2017'!$B$4:$B$23,'2016-2017'!AT$4:AT$23)</f>
        <v>16/17</v>
      </c>
    </row>
    <row r="37" spans="1:45" x14ac:dyDescent="0.25">
      <c r="A37">
        <v>16</v>
      </c>
      <c r="B37" t="str">
        <f>_xlfn.XLOOKUP($A37,'2016-2017'!$B$4:$B$23,'2016-2017'!C$4:C$23)</f>
        <v>Burnley</v>
      </c>
      <c r="C37">
        <f>_xlfn.XLOOKUP($A37,'2016-2017'!$B$4:$B$23,'2016-2017'!D$4:D$23)</f>
        <v>39</v>
      </c>
      <c r="D37">
        <f>_xlfn.XLOOKUP($A37,'2016-2017'!$B$4:$B$23,'2016-2017'!E$4:E$23)</f>
        <v>55</v>
      </c>
      <c r="E37">
        <f>_xlfn.XLOOKUP($A37,'2016-2017'!$B$4:$B$23,'2016-2017'!F$4:F$23)</f>
        <v>-16</v>
      </c>
      <c r="F37">
        <f>_xlfn.XLOOKUP($A37,'2016-2017'!$B$4:$B$23,'2016-2017'!G$4:G$23)</f>
        <v>10</v>
      </c>
      <c r="G37">
        <f>_xlfn.XLOOKUP($A37,'2016-2017'!$B$4:$B$23,'2016-2017'!H$4:H$23)</f>
        <v>65</v>
      </c>
      <c r="H37">
        <f>_xlfn.XLOOKUP($A37,'2016-2017'!$B$4:$B$23,'2016-2017'!I$4:I$23)</f>
        <v>2</v>
      </c>
      <c r="I37" t="str">
        <f>_xlfn.XLOOKUP($A37,'2016-2017'!$B$4:$B$23,'2016-2017'!J$4:J$23)</f>
        <v>NA</v>
      </c>
      <c r="J37" t="str">
        <f>_xlfn.XLOOKUP($A37,'2016-2017'!$B$4:$B$23,'2016-2017'!K$4:K$23)</f>
        <v>NA</v>
      </c>
      <c r="K37" t="str">
        <f>_xlfn.XLOOKUP($A37,'2016-2017'!$B$4:$B$23,'2016-2017'!L$4:L$23)</f>
        <v>NA</v>
      </c>
      <c r="L37">
        <f>_xlfn.XLOOKUP($A37,'2016-2017'!$B$4:$B$23,'2016-2017'!M$4:M$23)</f>
        <v>388</v>
      </c>
      <c r="M37">
        <f>_xlfn.XLOOKUP($A37,'2016-2017'!$B$4:$B$23,'2016-2017'!N$4:N$23)</f>
        <v>121</v>
      </c>
      <c r="N37">
        <f>_xlfn.XLOOKUP($A37,'2016-2017'!$B$4:$B$23,'2016-2017'!O$4:O$23)</f>
        <v>6</v>
      </c>
      <c r="O37">
        <f>_xlfn.XLOOKUP($A37,'2016-2017'!$B$4:$B$23,'2016-2017'!P$4:P$23)</f>
        <v>4</v>
      </c>
      <c r="P37">
        <f>_xlfn.XLOOKUP($A37,'2016-2017'!$B$4:$B$23,'2016-2017'!Q$4:Q$23)</f>
        <v>31</v>
      </c>
      <c r="Q37">
        <f>_xlfn.XLOOKUP($A37,'2016-2017'!$B$4:$B$23,'2016-2017'!R$4:R$23)</f>
        <v>0</v>
      </c>
      <c r="R37">
        <f>_xlfn.XLOOKUP($A37,'2016-2017'!$B$4:$B$23,'2016-2017'!S$4:S$23)</f>
        <v>8</v>
      </c>
      <c r="S37">
        <f>_xlfn.XLOOKUP($A37,'2016-2017'!$B$4:$B$23,'2016-2017'!T$4:T$23)</f>
        <v>103</v>
      </c>
      <c r="T37">
        <f>_xlfn.XLOOKUP($A37,'2016-2017'!$B$4:$B$23,'2016-2017'!U$4:U$23)</f>
        <v>2</v>
      </c>
      <c r="U37">
        <f>_xlfn.XLOOKUP($A37,'2016-2017'!$B$4:$B$23,'2016-2017'!V$4:V$23)</f>
        <v>5</v>
      </c>
      <c r="V37">
        <f>_xlfn.XLOOKUP($A37,'2016-2017'!$B$4:$B$23,'2016-2017'!W$4:W$23)</f>
        <v>153</v>
      </c>
      <c r="W37">
        <f>_xlfn.XLOOKUP($A37,'2016-2017'!$B$4:$B$23,'2016-2017'!X$4:X$23)</f>
        <v>1237</v>
      </c>
      <c r="X37">
        <f>_xlfn.XLOOKUP($A37,'2016-2017'!$B$4:$B$23,'2016-2017'!Y$4:Y$23)</f>
        <v>639</v>
      </c>
      <c r="Y37">
        <f>_xlfn.XLOOKUP($A37,'2016-2017'!$B$4:$B$23,'2016-2017'!Z$4:Z$23)</f>
        <v>428</v>
      </c>
      <c r="Z37">
        <f>_xlfn.XLOOKUP($A37,'2016-2017'!$B$4:$B$23,'2016-2017'!AA$4:AA$23)</f>
        <v>12559</v>
      </c>
      <c r="AA37">
        <f>_xlfn.XLOOKUP($A37,'2016-2017'!$B$4:$B$23,'2016-2017'!AB$4:AB$23)</f>
        <v>20</v>
      </c>
      <c r="AB37">
        <f>_xlfn.XLOOKUP($A37,'2016-2017'!$B$4:$B$23,'2016-2017'!AC$4:AC$23)</f>
        <v>1894</v>
      </c>
      <c r="AC37">
        <f>_xlfn.XLOOKUP($A37,'2016-2017'!$B$4:$B$23,'2016-2017'!AD$4:AD$23)</f>
        <v>676</v>
      </c>
      <c r="AD37">
        <f>_xlfn.XLOOKUP($A37,'2016-2017'!$B$4:$B$23,'2016-2017'!AE$4:AE$23)</f>
        <v>149</v>
      </c>
      <c r="AE37">
        <f>_xlfn.XLOOKUP($A37,'2016-2017'!$B$4:$B$23,'2016-2017'!AF$4:AF$23)</f>
        <v>45.6</v>
      </c>
      <c r="AF37">
        <f>_xlfn.XLOOKUP($A37,'2016-2017'!$B$4:$B$23,'2016-2017'!AG$4:AG$23)</f>
        <v>1.2</v>
      </c>
      <c r="AG37">
        <f>_xlfn.XLOOKUP($A37,'2016-2017'!$B$4:$B$23,'2016-2017'!AH$4:AH$23)</f>
        <v>27</v>
      </c>
      <c r="AH37">
        <f>_xlfn.XLOOKUP($A37,'2016-2017'!$B$4:$B$23,'2016-2017'!AI$4:AI$23)</f>
        <v>26</v>
      </c>
      <c r="AI37">
        <f>_xlfn.XLOOKUP($A37,'2016-2017'!$B$4:$B$23,'2016-2017'!AJ$4:AJ$23)</f>
        <v>107.18</v>
      </c>
      <c r="AJ37">
        <f>_xlfn.XLOOKUP($A37,'2016-2017'!$B$4:$B$23,'2016-2017'!AK$4:AK$23)</f>
        <v>36</v>
      </c>
      <c r="AK37">
        <f>_xlfn.XLOOKUP($A37,'2016-2017'!$B$4:$B$23,'2016-2017'!AL$4:AL$23)</f>
        <v>2.9772222222222222</v>
      </c>
      <c r="AL37">
        <f>_xlfn.XLOOKUP($A37,'2016-2017'!$B$4:$B$23,'2016-2017'!AM$4:AM$23)</f>
        <v>20558</v>
      </c>
      <c r="AM37">
        <f>_xlfn.XLOOKUP($A37,'2016-2017'!$B$4:$B$23,'2016-2017'!AN$4:AN$23)</f>
        <v>0.31</v>
      </c>
      <c r="AN37">
        <f>_xlfn.XLOOKUP($A37,'2016-2017'!$B$4:$B$23,'2016-2017'!AO$4:AO$23)</f>
        <v>0</v>
      </c>
      <c r="AO37">
        <f>_xlfn.XLOOKUP($A37,'2016-2017'!$B$4:$B$23,'2016-2017'!AP$4:AP$23)</f>
        <v>1</v>
      </c>
      <c r="AP37">
        <f>_xlfn.XLOOKUP($A37,'2016-2017'!$B$4:$B$23,'2016-2017'!AQ$4:AQ$23)</f>
        <v>0</v>
      </c>
      <c r="AQ37">
        <f>_xlfn.XLOOKUP($A37,'2016-2017'!$B$4:$B$23,'2016-2017'!AR$4:AR$23)</f>
        <v>0</v>
      </c>
      <c r="AR37">
        <f>_xlfn.XLOOKUP($A37,'2016-2017'!$B$4:$B$23,'2016-2017'!AS$4:AS$23)</f>
        <v>0</v>
      </c>
      <c r="AS37" t="str">
        <f>_xlfn.XLOOKUP($A37,'2016-2017'!$B$4:$B$23,'2016-2017'!AT$4:AT$23)</f>
        <v>16/17</v>
      </c>
    </row>
    <row r="38" spans="1:45" x14ac:dyDescent="0.25">
      <c r="A38">
        <v>17</v>
      </c>
      <c r="B38" t="str">
        <f>_xlfn.XLOOKUP($A38,'2016-2017'!$B$4:$B$23,'2016-2017'!C$4:C$23)</f>
        <v>Watford</v>
      </c>
      <c r="C38">
        <f>_xlfn.XLOOKUP($A38,'2016-2017'!$B$4:$B$23,'2016-2017'!D$4:D$23)</f>
        <v>40</v>
      </c>
      <c r="D38">
        <f>_xlfn.XLOOKUP($A38,'2016-2017'!$B$4:$B$23,'2016-2017'!E$4:E$23)</f>
        <v>68</v>
      </c>
      <c r="E38">
        <f>_xlfn.XLOOKUP($A38,'2016-2017'!$B$4:$B$23,'2016-2017'!F$4:F$23)</f>
        <v>-28</v>
      </c>
      <c r="F38">
        <f>_xlfn.XLOOKUP($A38,'2016-2017'!$B$4:$B$23,'2016-2017'!G$4:G$23)</f>
        <v>7</v>
      </c>
      <c r="G38">
        <f>_xlfn.XLOOKUP($A38,'2016-2017'!$B$4:$B$23,'2016-2017'!H$4:H$23)</f>
        <v>84</v>
      </c>
      <c r="H38">
        <f>_xlfn.XLOOKUP($A38,'2016-2017'!$B$4:$B$23,'2016-2017'!I$4:I$23)</f>
        <v>5</v>
      </c>
      <c r="I38" t="str">
        <f>_xlfn.XLOOKUP($A38,'2016-2017'!$B$4:$B$23,'2016-2017'!J$4:J$23)</f>
        <v>NA</v>
      </c>
      <c r="J38" t="str">
        <f>_xlfn.XLOOKUP($A38,'2016-2017'!$B$4:$B$23,'2016-2017'!K$4:K$23)</f>
        <v>NA</v>
      </c>
      <c r="K38" t="str">
        <f>_xlfn.XLOOKUP($A38,'2016-2017'!$B$4:$B$23,'2016-2017'!L$4:L$23)</f>
        <v>NA</v>
      </c>
      <c r="L38">
        <f>_xlfn.XLOOKUP($A38,'2016-2017'!$B$4:$B$23,'2016-2017'!M$4:M$23)</f>
        <v>424</v>
      </c>
      <c r="M38">
        <f>_xlfn.XLOOKUP($A38,'2016-2017'!$B$4:$B$23,'2016-2017'!N$4:N$23)</f>
        <v>143</v>
      </c>
      <c r="N38">
        <f>_xlfn.XLOOKUP($A38,'2016-2017'!$B$4:$B$23,'2016-2017'!O$4:O$23)</f>
        <v>3</v>
      </c>
      <c r="O38">
        <f>_xlfn.XLOOKUP($A38,'2016-2017'!$B$4:$B$23,'2016-2017'!P$4:P$23)</f>
        <v>9</v>
      </c>
      <c r="P38">
        <f>_xlfn.XLOOKUP($A38,'2016-2017'!$B$4:$B$23,'2016-2017'!Q$4:Q$23)</f>
        <v>36</v>
      </c>
      <c r="Q38">
        <f>_xlfn.XLOOKUP($A38,'2016-2017'!$B$4:$B$23,'2016-2017'!R$4:R$23)</f>
        <v>0</v>
      </c>
      <c r="R38">
        <f>_xlfn.XLOOKUP($A38,'2016-2017'!$B$4:$B$23,'2016-2017'!S$4:S$23)</f>
        <v>4</v>
      </c>
      <c r="S38">
        <f>_xlfn.XLOOKUP($A38,'2016-2017'!$B$4:$B$23,'2016-2017'!T$4:T$23)</f>
        <v>63</v>
      </c>
      <c r="T38">
        <f>_xlfn.XLOOKUP($A38,'2016-2017'!$B$4:$B$23,'2016-2017'!U$4:U$23)</f>
        <v>2</v>
      </c>
      <c r="U38">
        <f>_xlfn.XLOOKUP($A38,'2016-2017'!$B$4:$B$23,'2016-2017'!V$4:V$23)</f>
        <v>4</v>
      </c>
      <c r="V38">
        <f>_xlfn.XLOOKUP($A38,'2016-2017'!$B$4:$B$23,'2016-2017'!W$4:W$23)</f>
        <v>119</v>
      </c>
      <c r="W38">
        <f>_xlfn.XLOOKUP($A38,'2016-2017'!$B$4:$B$23,'2016-2017'!X$4:X$23)</f>
        <v>1016</v>
      </c>
      <c r="X38">
        <f>_xlfn.XLOOKUP($A38,'2016-2017'!$B$4:$B$23,'2016-2017'!Y$4:Y$23)</f>
        <v>618</v>
      </c>
      <c r="Y38">
        <f>_xlfn.XLOOKUP($A38,'2016-2017'!$B$4:$B$23,'2016-2017'!Z$4:Z$23)</f>
        <v>514</v>
      </c>
      <c r="Z38">
        <f>_xlfn.XLOOKUP($A38,'2016-2017'!$B$4:$B$23,'2016-2017'!AA$4:AA$23)</f>
        <v>14049</v>
      </c>
      <c r="AA38">
        <f>_xlfn.XLOOKUP($A38,'2016-2017'!$B$4:$B$23,'2016-2017'!AB$4:AB$23)</f>
        <v>22</v>
      </c>
      <c r="AB38">
        <f>_xlfn.XLOOKUP($A38,'2016-2017'!$B$4:$B$23,'2016-2017'!AC$4:AC$23)</f>
        <v>2200</v>
      </c>
      <c r="AC38">
        <f>_xlfn.XLOOKUP($A38,'2016-2017'!$B$4:$B$23,'2016-2017'!AD$4:AD$23)</f>
        <v>696</v>
      </c>
      <c r="AD38">
        <f>_xlfn.XLOOKUP($A38,'2016-2017'!$B$4:$B$23,'2016-2017'!AE$4:AE$23)</f>
        <v>164</v>
      </c>
      <c r="AE38">
        <f>_xlfn.XLOOKUP($A38,'2016-2017'!$B$4:$B$23,'2016-2017'!AF$4:AF$23)</f>
        <v>70.45</v>
      </c>
      <c r="AF38">
        <f>_xlfn.XLOOKUP($A38,'2016-2017'!$B$4:$B$23,'2016-2017'!AG$4:AG$23)</f>
        <v>58.1</v>
      </c>
      <c r="AG38">
        <f>_xlfn.XLOOKUP($A38,'2016-2017'!$B$4:$B$23,'2016-2017'!AH$4:AH$23)</f>
        <v>29</v>
      </c>
      <c r="AH38">
        <f>_xlfn.XLOOKUP($A38,'2016-2017'!$B$4:$B$23,'2016-2017'!AI$4:AI$23)</f>
        <v>32</v>
      </c>
      <c r="AI38">
        <f>_xlfn.XLOOKUP($A38,'2016-2017'!$B$4:$B$23,'2016-2017'!AJ$4:AJ$23)</f>
        <v>175.65</v>
      </c>
      <c r="AJ38">
        <f>_xlfn.XLOOKUP($A38,'2016-2017'!$B$4:$B$23,'2016-2017'!AK$4:AK$23)</f>
        <v>46</v>
      </c>
      <c r="AK38">
        <f>_xlfn.XLOOKUP($A38,'2016-2017'!$B$4:$B$23,'2016-2017'!AL$4:AL$23)</f>
        <v>3.8184782608695653</v>
      </c>
      <c r="AL38">
        <f>_xlfn.XLOOKUP($A38,'2016-2017'!$B$4:$B$23,'2016-2017'!AM$4:AM$23)</f>
        <v>20571</v>
      </c>
      <c r="AM38">
        <f>_xlfn.XLOOKUP($A38,'2016-2017'!$B$4:$B$23,'2016-2017'!AN$4:AN$23)</f>
        <v>0.21</v>
      </c>
      <c r="AN38">
        <f>_xlfn.XLOOKUP($A38,'2016-2017'!$B$4:$B$23,'2016-2017'!AO$4:AO$23)</f>
        <v>0</v>
      </c>
      <c r="AO38">
        <f>_xlfn.XLOOKUP($A38,'2016-2017'!$B$4:$B$23,'2016-2017'!AP$4:AP$23)</f>
        <v>0</v>
      </c>
      <c r="AP38">
        <f>_xlfn.XLOOKUP($A38,'2016-2017'!$B$4:$B$23,'2016-2017'!AQ$4:AQ$23)</f>
        <v>0</v>
      </c>
      <c r="AQ38">
        <f>_xlfn.XLOOKUP($A38,'2016-2017'!$B$4:$B$23,'2016-2017'!AR$4:AR$23)</f>
        <v>0</v>
      </c>
      <c r="AR38">
        <f>_xlfn.XLOOKUP($A38,'2016-2017'!$B$4:$B$23,'2016-2017'!AS$4:AS$23)</f>
        <v>0</v>
      </c>
      <c r="AS38" t="str">
        <f>_xlfn.XLOOKUP($A38,'2016-2017'!$B$4:$B$23,'2016-2017'!AT$4:AT$23)</f>
        <v>16/17</v>
      </c>
    </row>
    <row r="39" spans="1:45" x14ac:dyDescent="0.25">
      <c r="A39">
        <v>18</v>
      </c>
      <c r="B39" t="str">
        <f>_xlfn.XLOOKUP($A39,'2016-2017'!$B$4:$B$23,'2016-2017'!C$4:C$23)</f>
        <v>Hull City</v>
      </c>
      <c r="C39">
        <f>_xlfn.XLOOKUP($A39,'2016-2017'!$B$4:$B$23,'2016-2017'!D$4:D$23)</f>
        <v>37</v>
      </c>
      <c r="D39">
        <f>_xlfn.XLOOKUP($A39,'2016-2017'!$B$4:$B$23,'2016-2017'!E$4:E$23)</f>
        <v>80</v>
      </c>
      <c r="E39">
        <f>_xlfn.XLOOKUP($A39,'2016-2017'!$B$4:$B$23,'2016-2017'!F$4:F$23)</f>
        <v>-43</v>
      </c>
      <c r="F39">
        <f>_xlfn.XLOOKUP($A39,'2016-2017'!$B$4:$B$23,'2016-2017'!G$4:G$23)</f>
        <v>5</v>
      </c>
      <c r="G39">
        <f>_xlfn.XLOOKUP($A39,'2016-2017'!$B$4:$B$23,'2016-2017'!H$4:H$23)</f>
        <v>67</v>
      </c>
      <c r="H39">
        <f>_xlfn.XLOOKUP($A39,'2016-2017'!$B$4:$B$23,'2016-2017'!I$4:I$23)</f>
        <v>5</v>
      </c>
      <c r="I39" t="str">
        <f>_xlfn.XLOOKUP($A39,'2016-2017'!$B$4:$B$23,'2016-2017'!J$4:J$23)</f>
        <v>NA</v>
      </c>
      <c r="J39" t="str">
        <f>_xlfn.XLOOKUP($A39,'2016-2017'!$B$4:$B$23,'2016-2017'!K$4:K$23)</f>
        <v>NA</v>
      </c>
      <c r="K39" t="str">
        <f>_xlfn.XLOOKUP($A39,'2016-2017'!$B$4:$B$23,'2016-2017'!L$4:L$23)</f>
        <v>NA</v>
      </c>
      <c r="L39">
        <f>_xlfn.XLOOKUP($A39,'2016-2017'!$B$4:$B$23,'2016-2017'!M$4:M$23)</f>
        <v>396</v>
      </c>
      <c r="M39">
        <f>_xlfn.XLOOKUP($A39,'2016-2017'!$B$4:$B$23,'2016-2017'!N$4:N$23)</f>
        <v>126</v>
      </c>
      <c r="N39">
        <f>_xlfn.XLOOKUP($A39,'2016-2017'!$B$4:$B$23,'2016-2017'!O$4:O$23)</f>
        <v>3</v>
      </c>
      <c r="O39">
        <f>_xlfn.XLOOKUP($A39,'2016-2017'!$B$4:$B$23,'2016-2017'!P$4:P$23)</f>
        <v>4</v>
      </c>
      <c r="P39">
        <f>_xlfn.XLOOKUP($A39,'2016-2017'!$B$4:$B$23,'2016-2017'!Q$4:Q$23)</f>
        <v>33</v>
      </c>
      <c r="Q39">
        <f>_xlfn.XLOOKUP($A39,'2016-2017'!$B$4:$B$23,'2016-2017'!R$4:R$23)</f>
        <v>0</v>
      </c>
      <c r="R39">
        <f>_xlfn.XLOOKUP($A39,'2016-2017'!$B$4:$B$23,'2016-2017'!S$4:S$23)</f>
        <v>4</v>
      </c>
      <c r="S39">
        <f>_xlfn.XLOOKUP($A39,'2016-2017'!$B$4:$B$23,'2016-2017'!T$4:T$23)</f>
        <v>71</v>
      </c>
      <c r="T39">
        <f>_xlfn.XLOOKUP($A39,'2016-2017'!$B$4:$B$23,'2016-2017'!U$4:U$23)</f>
        <v>5</v>
      </c>
      <c r="U39">
        <f>_xlfn.XLOOKUP($A39,'2016-2017'!$B$4:$B$23,'2016-2017'!V$4:V$23)</f>
        <v>14</v>
      </c>
      <c r="V39">
        <f>_xlfn.XLOOKUP($A39,'2016-2017'!$B$4:$B$23,'2016-2017'!W$4:W$23)</f>
        <v>134</v>
      </c>
      <c r="W39">
        <f>_xlfn.XLOOKUP($A39,'2016-2017'!$B$4:$B$23,'2016-2017'!X$4:X$23)</f>
        <v>1110</v>
      </c>
      <c r="X39">
        <f>_xlfn.XLOOKUP($A39,'2016-2017'!$B$4:$B$23,'2016-2017'!Y$4:Y$23)</f>
        <v>637</v>
      </c>
      <c r="Y39">
        <f>_xlfn.XLOOKUP($A39,'2016-2017'!$B$4:$B$23,'2016-2017'!Z$4:Z$23)</f>
        <v>403</v>
      </c>
      <c r="Z39">
        <f>_xlfn.XLOOKUP($A39,'2016-2017'!$B$4:$B$23,'2016-2017'!AA$4:AA$23)</f>
        <v>15610</v>
      </c>
      <c r="AA39">
        <f>_xlfn.XLOOKUP($A39,'2016-2017'!$B$4:$B$23,'2016-2017'!AB$4:AB$23)</f>
        <v>41</v>
      </c>
      <c r="AB39">
        <f>_xlfn.XLOOKUP($A39,'2016-2017'!$B$4:$B$23,'2016-2017'!AC$4:AC$23)</f>
        <v>2490</v>
      </c>
      <c r="AC39">
        <f>_xlfn.XLOOKUP($A39,'2016-2017'!$B$4:$B$23,'2016-2017'!AD$4:AD$23)</f>
        <v>748</v>
      </c>
      <c r="AD39">
        <f>_xlfn.XLOOKUP($A39,'2016-2017'!$B$4:$B$23,'2016-2017'!AE$4:AE$23)</f>
        <v>179</v>
      </c>
      <c r="AE39">
        <f>_xlfn.XLOOKUP($A39,'2016-2017'!$B$4:$B$23,'2016-2017'!AF$4:AF$23)</f>
        <v>40</v>
      </c>
      <c r="AF39">
        <f>_xlfn.XLOOKUP($A39,'2016-2017'!$B$4:$B$23,'2016-2017'!AG$4:AG$23)</f>
        <v>28.9</v>
      </c>
      <c r="AG39">
        <f>_xlfn.XLOOKUP($A39,'2016-2017'!$B$4:$B$23,'2016-2017'!AH$4:AH$23)</f>
        <v>26</v>
      </c>
      <c r="AH39">
        <f>_xlfn.XLOOKUP($A39,'2016-2017'!$B$4:$B$23,'2016-2017'!AI$4:AI$23)</f>
        <v>16</v>
      </c>
      <c r="AI39">
        <f>_xlfn.XLOOKUP($A39,'2016-2017'!$B$4:$B$23,'2016-2017'!AJ$4:AJ$23)</f>
        <v>135.85</v>
      </c>
      <c r="AJ39">
        <f>_xlfn.XLOOKUP($A39,'2016-2017'!$B$4:$B$23,'2016-2017'!AK$4:AK$23)</f>
        <v>42</v>
      </c>
      <c r="AK39">
        <f>_xlfn.XLOOKUP($A39,'2016-2017'!$B$4:$B$23,'2016-2017'!AL$4:AL$23)</f>
        <v>3.2345238095238096</v>
      </c>
      <c r="AL39">
        <f>_xlfn.XLOOKUP($A39,'2016-2017'!$B$4:$B$23,'2016-2017'!AM$4:AM$23)</f>
        <v>20761</v>
      </c>
      <c r="AM39">
        <f>_xlfn.XLOOKUP($A39,'2016-2017'!$B$4:$B$23,'2016-2017'!AN$4:AN$23)</f>
        <v>0.33</v>
      </c>
      <c r="AN39">
        <f>_xlfn.XLOOKUP($A39,'2016-2017'!$B$4:$B$23,'2016-2017'!AO$4:AO$23)</f>
        <v>0</v>
      </c>
      <c r="AO39">
        <f>_xlfn.XLOOKUP($A39,'2016-2017'!$B$4:$B$23,'2016-2017'!AP$4:AP$23)</f>
        <v>1</v>
      </c>
      <c r="AP39">
        <f>_xlfn.XLOOKUP($A39,'2016-2017'!$B$4:$B$23,'2016-2017'!AQ$4:AQ$23)</f>
        <v>0</v>
      </c>
      <c r="AQ39">
        <f>_xlfn.XLOOKUP($A39,'2016-2017'!$B$4:$B$23,'2016-2017'!AR$4:AR$23)</f>
        <v>1</v>
      </c>
      <c r="AR39">
        <f>_xlfn.XLOOKUP($A39,'2016-2017'!$B$4:$B$23,'2016-2017'!AS$4:AS$23)</f>
        <v>0</v>
      </c>
      <c r="AS39" t="str">
        <f>_xlfn.XLOOKUP($A39,'2016-2017'!$B$4:$B$23,'2016-2017'!AT$4:AT$23)</f>
        <v>16/17</v>
      </c>
    </row>
    <row r="40" spans="1:45" x14ac:dyDescent="0.25">
      <c r="A40">
        <v>19</v>
      </c>
      <c r="B40" t="str">
        <f>_xlfn.XLOOKUP($A40,'2016-2017'!$B$4:$B$23,'2016-2017'!C$4:C$23)</f>
        <v>Middlesbrough</v>
      </c>
      <c r="C40">
        <f>_xlfn.XLOOKUP($A40,'2016-2017'!$B$4:$B$23,'2016-2017'!D$4:D$23)</f>
        <v>27</v>
      </c>
      <c r="D40">
        <f>_xlfn.XLOOKUP($A40,'2016-2017'!$B$4:$B$23,'2016-2017'!E$4:E$23)</f>
        <v>53</v>
      </c>
      <c r="E40">
        <f>_xlfn.XLOOKUP($A40,'2016-2017'!$B$4:$B$23,'2016-2017'!F$4:F$23)</f>
        <v>-26</v>
      </c>
      <c r="F40">
        <f>_xlfn.XLOOKUP($A40,'2016-2017'!$B$4:$B$23,'2016-2017'!G$4:G$23)</f>
        <v>11</v>
      </c>
      <c r="G40">
        <f>_xlfn.XLOOKUP($A40,'2016-2017'!$B$4:$B$23,'2016-2017'!H$4:H$23)</f>
        <v>77</v>
      </c>
      <c r="H40">
        <f>_xlfn.XLOOKUP($A40,'2016-2017'!$B$4:$B$23,'2016-2017'!I$4:I$23)</f>
        <v>1</v>
      </c>
      <c r="I40" t="str">
        <f>_xlfn.XLOOKUP($A40,'2016-2017'!$B$4:$B$23,'2016-2017'!J$4:J$23)</f>
        <v>NA</v>
      </c>
      <c r="J40" t="str">
        <f>_xlfn.XLOOKUP($A40,'2016-2017'!$B$4:$B$23,'2016-2017'!K$4:K$23)</f>
        <v>NA</v>
      </c>
      <c r="K40" t="str">
        <f>_xlfn.XLOOKUP($A40,'2016-2017'!$B$4:$B$23,'2016-2017'!L$4:L$23)</f>
        <v>NA</v>
      </c>
      <c r="L40">
        <f>_xlfn.XLOOKUP($A40,'2016-2017'!$B$4:$B$23,'2016-2017'!M$4:M$23)</f>
        <v>349</v>
      </c>
      <c r="M40">
        <f>_xlfn.XLOOKUP($A40,'2016-2017'!$B$4:$B$23,'2016-2017'!N$4:N$23)</f>
        <v>98</v>
      </c>
      <c r="N40">
        <f>_xlfn.XLOOKUP($A40,'2016-2017'!$B$4:$B$23,'2016-2017'!O$4:O$23)</f>
        <v>2</v>
      </c>
      <c r="O40">
        <f>_xlfn.XLOOKUP($A40,'2016-2017'!$B$4:$B$23,'2016-2017'!P$4:P$23)</f>
        <v>8</v>
      </c>
      <c r="P40">
        <f>_xlfn.XLOOKUP($A40,'2016-2017'!$B$4:$B$23,'2016-2017'!Q$4:Q$23)</f>
        <v>26</v>
      </c>
      <c r="Q40">
        <f>_xlfn.XLOOKUP($A40,'2016-2017'!$B$4:$B$23,'2016-2017'!R$4:R$23)</f>
        <v>0</v>
      </c>
      <c r="R40">
        <f>_xlfn.XLOOKUP($A40,'2016-2017'!$B$4:$B$23,'2016-2017'!S$4:S$23)</f>
        <v>1</v>
      </c>
      <c r="S40">
        <f>_xlfn.XLOOKUP($A40,'2016-2017'!$B$4:$B$23,'2016-2017'!T$4:T$23)</f>
        <v>51</v>
      </c>
      <c r="T40">
        <f>_xlfn.XLOOKUP($A40,'2016-2017'!$B$4:$B$23,'2016-2017'!U$4:U$23)</f>
        <v>0</v>
      </c>
      <c r="U40">
        <f>_xlfn.XLOOKUP($A40,'2016-2017'!$B$4:$B$23,'2016-2017'!V$4:V$23)</f>
        <v>5</v>
      </c>
      <c r="V40">
        <f>_xlfn.XLOOKUP($A40,'2016-2017'!$B$4:$B$23,'2016-2017'!W$4:W$23)</f>
        <v>118</v>
      </c>
      <c r="W40">
        <f>_xlfn.XLOOKUP($A40,'2016-2017'!$B$4:$B$23,'2016-2017'!X$4:X$23)</f>
        <v>1090</v>
      </c>
      <c r="X40">
        <f>_xlfn.XLOOKUP($A40,'2016-2017'!$B$4:$B$23,'2016-2017'!Y$4:Y$23)</f>
        <v>727</v>
      </c>
      <c r="Y40">
        <f>_xlfn.XLOOKUP($A40,'2016-2017'!$B$4:$B$23,'2016-2017'!Z$4:Z$23)</f>
        <v>480</v>
      </c>
      <c r="Z40">
        <f>_xlfn.XLOOKUP($A40,'2016-2017'!$B$4:$B$23,'2016-2017'!AA$4:AA$23)</f>
        <v>15736</v>
      </c>
      <c r="AA40">
        <f>_xlfn.XLOOKUP($A40,'2016-2017'!$B$4:$B$23,'2016-2017'!AB$4:AB$23)</f>
        <v>37</v>
      </c>
      <c r="AB40">
        <f>_xlfn.XLOOKUP($A40,'2016-2017'!$B$4:$B$23,'2016-2017'!AC$4:AC$23)</f>
        <v>2448</v>
      </c>
      <c r="AC40">
        <f>_xlfn.XLOOKUP($A40,'2016-2017'!$B$4:$B$23,'2016-2017'!AD$4:AD$23)</f>
        <v>735</v>
      </c>
      <c r="AD40">
        <f>_xlfn.XLOOKUP($A40,'2016-2017'!$B$4:$B$23,'2016-2017'!AE$4:AE$23)</f>
        <v>141</v>
      </c>
      <c r="AE40">
        <f>_xlfn.XLOOKUP($A40,'2016-2017'!$B$4:$B$23,'2016-2017'!AF$4:AF$23)</f>
        <v>47.95</v>
      </c>
      <c r="AF40">
        <f>_xlfn.XLOOKUP($A40,'2016-2017'!$B$4:$B$23,'2016-2017'!AG$4:AG$23)</f>
        <v>13.5</v>
      </c>
      <c r="AG40">
        <f>_xlfn.XLOOKUP($A40,'2016-2017'!$B$4:$B$23,'2016-2017'!AH$4:AH$23)</f>
        <v>18</v>
      </c>
      <c r="AH40">
        <f>_xlfn.XLOOKUP($A40,'2016-2017'!$B$4:$B$23,'2016-2017'!AI$4:AI$23)</f>
        <v>19</v>
      </c>
      <c r="AI40">
        <f>_xlfn.XLOOKUP($A40,'2016-2017'!$B$4:$B$23,'2016-2017'!AJ$4:AJ$23)</f>
        <v>128.80000000000001</v>
      </c>
      <c r="AJ40">
        <f>_xlfn.XLOOKUP($A40,'2016-2017'!$B$4:$B$23,'2016-2017'!AK$4:AK$23)</f>
        <v>35</v>
      </c>
      <c r="AK40">
        <f>_xlfn.XLOOKUP($A40,'2016-2017'!$B$4:$B$23,'2016-2017'!AL$4:AL$23)</f>
        <v>3.68</v>
      </c>
      <c r="AL40">
        <f>_xlfn.XLOOKUP($A40,'2016-2017'!$B$4:$B$23,'2016-2017'!AM$4:AM$23)</f>
        <v>30449</v>
      </c>
      <c r="AM40">
        <f>_xlfn.XLOOKUP($A40,'2016-2017'!$B$4:$B$23,'2016-2017'!AN$4:AN$23)</f>
        <v>0.19</v>
      </c>
      <c r="AN40">
        <f>_xlfn.XLOOKUP($A40,'2016-2017'!$B$4:$B$23,'2016-2017'!AO$4:AO$23)</f>
        <v>0</v>
      </c>
      <c r="AO40">
        <f>_xlfn.XLOOKUP($A40,'2016-2017'!$B$4:$B$23,'2016-2017'!AP$4:AP$23)</f>
        <v>1</v>
      </c>
      <c r="AP40">
        <f>_xlfn.XLOOKUP($A40,'2016-2017'!$B$4:$B$23,'2016-2017'!AQ$4:AQ$23)</f>
        <v>0</v>
      </c>
      <c r="AQ40">
        <f>_xlfn.XLOOKUP($A40,'2016-2017'!$B$4:$B$23,'2016-2017'!AR$4:AR$23)</f>
        <v>1</v>
      </c>
      <c r="AR40">
        <f>_xlfn.XLOOKUP($A40,'2016-2017'!$B$4:$B$23,'2016-2017'!AS$4:AS$23)</f>
        <v>0</v>
      </c>
      <c r="AS40" t="str">
        <f>_xlfn.XLOOKUP($A40,'2016-2017'!$B$4:$B$23,'2016-2017'!AT$4:AT$23)</f>
        <v>16/17</v>
      </c>
    </row>
    <row r="41" spans="1:45" x14ac:dyDescent="0.25">
      <c r="A41">
        <v>20</v>
      </c>
      <c r="B41" t="str">
        <f>_xlfn.XLOOKUP($A41,'2016-2017'!$B$4:$B$23,'2016-2017'!C$4:C$23)</f>
        <v>Sunderland</v>
      </c>
      <c r="C41">
        <f>_xlfn.XLOOKUP($A41,'2016-2017'!$B$4:$B$23,'2016-2017'!D$4:D$23)</f>
        <v>29</v>
      </c>
      <c r="D41">
        <f>_xlfn.XLOOKUP($A41,'2016-2017'!$B$4:$B$23,'2016-2017'!E$4:E$23)</f>
        <v>69</v>
      </c>
      <c r="E41">
        <f>_xlfn.XLOOKUP($A41,'2016-2017'!$B$4:$B$23,'2016-2017'!F$4:F$23)</f>
        <v>-40</v>
      </c>
      <c r="F41">
        <f>_xlfn.XLOOKUP($A41,'2016-2017'!$B$4:$B$23,'2016-2017'!G$4:G$23)</f>
        <v>6</v>
      </c>
      <c r="G41">
        <f>_xlfn.XLOOKUP($A41,'2016-2017'!$B$4:$B$23,'2016-2017'!H$4:H$23)</f>
        <v>78</v>
      </c>
      <c r="H41">
        <f>_xlfn.XLOOKUP($A41,'2016-2017'!$B$4:$B$23,'2016-2017'!I$4:I$23)</f>
        <v>4</v>
      </c>
      <c r="I41" t="str">
        <f>_xlfn.XLOOKUP($A41,'2016-2017'!$B$4:$B$23,'2016-2017'!J$4:J$23)</f>
        <v>NA</v>
      </c>
      <c r="J41" t="str">
        <f>_xlfn.XLOOKUP($A41,'2016-2017'!$B$4:$B$23,'2016-2017'!K$4:K$23)</f>
        <v>NA</v>
      </c>
      <c r="K41" t="str">
        <f>_xlfn.XLOOKUP($A41,'2016-2017'!$B$4:$B$23,'2016-2017'!L$4:L$23)</f>
        <v>NA</v>
      </c>
      <c r="L41">
        <f>_xlfn.XLOOKUP($A41,'2016-2017'!$B$4:$B$23,'2016-2017'!M$4:M$23)</f>
        <v>388</v>
      </c>
      <c r="M41">
        <f>_xlfn.XLOOKUP($A41,'2016-2017'!$B$4:$B$23,'2016-2017'!N$4:N$23)</f>
        <v>122</v>
      </c>
      <c r="N41">
        <f>_xlfn.XLOOKUP($A41,'2016-2017'!$B$4:$B$23,'2016-2017'!O$4:O$23)</f>
        <v>5</v>
      </c>
      <c r="O41">
        <f>_xlfn.XLOOKUP($A41,'2016-2017'!$B$4:$B$23,'2016-2017'!P$4:P$23)</f>
        <v>1</v>
      </c>
      <c r="P41">
        <f>_xlfn.XLOOKUP($A41,'2016-2017'!$B$4:$B$23,'2016-2017'!Q$4:Q$23)</f>
        <v>26</v>
      </c>
      <c r="Q41">
        <f>_xlfn.XLOOKUP($A41,'2016-2017'!$B$4:$B$23,'2016-2017'!R$4:R$23)</f>
        <v>0</v>
      </c>
      <c r="R41">
        <f>_xlfn.XLOOKUP($A41,'2016-2017'!$B$4:$B$23,'2016-2017'!S$4:S$23)</f>
        <v>3</v>
      </c>
      <c r="S41">
        <f>_xlfn.XLOOKUP($A41,'2016-2017'!$B$4:$B$23,'2016-2017'!T$4:T$23)</f>
        <v>80</v>
      </c>
      <c r="T41">
        <f>_xlfn.XLOOKUP($A41,'2016-2017'!$B$4:$B$23,'2016-2017'!U$4:U$23)</f>
        <v>2</v>
      </c>
      <c r="U41">
        <f>_xlfn.XLOOKUP($A41,'2016-2017'!$B$4:$B$23,'2016-2017'!V$4:V$23)</f>
        <v>4</v>
      </c>
      <c r="V41">
        <f>_xlfn.XLOOKUP($A41,'2016-2017'!$B$4:$B$23,'2016-2017'!W$4:W$23)</f>
        <v>179</v>
      </c>
      <c r="W41">
        <f>_xlfn.XLOOKUP($A41,'2016-2017'!$B$4:$B$23,'2016-2017'!X$4:X$23)</f>
        <v>1173</v>
      </c>
      <c r="X41">
        <f>_xlfn.XLOOKUP($A41,'2016-2017'!$B$4:$B$23,'2016-2017'!Y$4:Y$23)</f>
        <v>630</v>
      </c>
      <c r="Y41">
        <f>_xlfn.XLOOKUP($A41,'2016-2017'!$B$4:$B$23,'2016-2017'!Z$4:Z$23)</f>
        <v>437</v>
      </c>
      <c r="Z41">
        <f>_xlfn.XLOOKUP($A41,'2016-2017'!$B$4:$B$23,'2016-2017'!AA$4:AA$23)</f>
        <v>12360</v>
      </c>
      <c r="AA41">
        <f>_xlfn.XLOOKUP($A41,'2016-2017'!$B$4:$B$23,'2016-2017'!AB$4:AB$23)</f>
        <v>38</v>
      </c>
      <c r="AB41">
        <f>_xlfn.XLOOKUP($A41,'2016-2017'!$B$4:$B$23,'2016-2017'!AC$4:AC$23)</f>
        <v>1882</v>
      </c>
      <c r="AC41">
        <f>_xlfn.XLOOKUP($A41,'2016-2017'!$B$4:$B$23,'2016-2017'!AD$4:AD$23)</f>
        <v>633</v>
      </c>
      <c r="AD41">
        <f>_xlfn.XLOOKUP($A41,'2016-2017'!$B$4:$B$23,'2016-2017'!AE$4:AE$23)</f>
        <v>159</v>
      </c>
      <c r="AE41">
        <f>_xlfn.XLOOKUP($A41,'2016-2017'!$B$4:$B$23,'2016-2017'!AF$4:AF$23)</f>
        <v>41.9</v>
      </c>
      <c r="AF41">
        <f>_xlfn.XLOOKUP($A41,'2016-2017'!$B$4:$B$23,'2016-2017'!AG$4:AG$23)</f>
        <v>23.77</v>
      </c>
      <c r="AG41">
        <f>_xlfn.XLOOKUP($A41,'2016-2017'!$B$4:$B$23,'2016-2017'!AH$4:AH$23)</f>
        <v>25</v>
      </c>
      <c r="AH41">
        <f>_xlfn.XLOOKUP($A41,'2016-2017'!$B$4:$B$23,'2016-2017'!AI$4:AI$23)</f>
        <v>23</v>
      </c>
      <c r="AI41">
        <f>_xlfn.XLOOKUP($A41,'2016-2017'!$B$4:$B$23,'2016-2017'!AJ$4:AJ$23)</f>
        <v>132</v>
      </c>
      <c r="AJ41">
        <f>_xlfn.XLOOKUP($A41,'2016-2017'!$B$4:$B$23,'2016-2017'!AK$4:AK$23)</f>
        <v>42</v>
      </c>
      <c r="AK41">
        <f>_xlfn.XLOOKUP($A41,'2016-2017'!$B$4:$B$23,'2016-2017'!AL$4:AL$23)</f>
        <v>3.1428571428571428</v>
      </c>
      <c r="AL41">
        <f>_xlfn.XLOOKUP($A41,'2016-2017'!$B$4:$B$23,'2016-2017'!AM$4:AM$23)</f>
        <v>41287</v>
      </c>
      <c r="AM41">
        <f>_xlfn.XLOOKUP($A41,'2016-2017'!$B$4:$B$23,'2016-2017'!AN$4:AN$23)</f>
        <v>7.0000000000000007E-2</v>
      </c>
      <c r="AN41">
        <f>_xlfn.XLOOKUP($A41,'2016-2017'!$B$4:$B$23,'2016-2017'!AO$4:AO$23)</f>
        <v>0</v>
      </c>
      <c r="AO41">
        <f>_xlfn.XLOOKUP($A41,'2016-2017'!$B$4:$B$23,'2016-2017'!AP$4:AP$23)</f>
        <v>0</v>
      </c>
      <c r="AP41">
        <f>_xlfn.XLOOKUP($A41,'2016-2017'!$B$4:$B$23,'2016-2017'!AQ$4:AQ$23)</f>
        <v>0</v>
      </c>
      <c r="AQ41">
        <f>_xlfn.XLOOKUP($A41,'2016-2017'!$B$4:$B$23,'2016-2017'!AR$4:AR$23)</f>
        <v>1</v>
      </c>
      <c r="AR41">
        <f>_xlfn.XLOOKUP($A41,'2016-2017'!$B$4:$B$23,'2016-2017'!AS$4:AS$23)</f>
        <v>0</v>
      </c>
      <c r="AS41" t="str">
        <f>_xlfn.XLOOKUP($A41,'2016-2017'!$B$4:$B$23,'2016-2017'!AT$4:AT$23)</f>
        <v>16/17</v>
      </c>
    </row>
    <row r="42" spans="1:45" x14ac:dyDescent="0.25">
      <c r="A42">
        <v>1</v>
      </c>
      <c r="B42" t="str">
        <f>_xlfn.XLOOKUP($A42,'2017-2018'!$B$4:$B$23,'2017-2018'!C$4:C$23)</f>
        <v>Manchester City</v>
      </c>
      <c r="C42">
        <f>_xlfn.XLOOKUP($A42,'2017-2018'!$B$4:$B$23,'2017-2018'!D$4:D$23)</f>
        <v>106</v>
      </c>
      <c r="D42">
        <f>_xlfn.XLOOKUP($A42,'2017-2018'!$B$4:$B$23,'2017-2018'!E$4:E$23)</f>
        <v>27</v>
      </c>
      <c r="E42">
        <f>_xlfn.XLOOKUP($A42,'2017-2018'!$B$4:$B$23,'2017-2018'!F$4:F$23)</f>
        <v>79</v>
      </c>
      <c r="F42">
        <f>_xlfn.XLOOKUP($A42,'2017-2018'!$B$4:$B$23,'2017-2018'!G$4:G$23)</f>
        <v>18</v>
      </c>
      <c r="G42">
        <f>_xlfn.XLOOKUP($A42,'2017-2018'!$B$4:$B$23,'2017-2018'!H$4:H$23)</f>
        <v>59</v>
      </c>
      <c r="H42">
        <f>_xlfn.XLOOKUP($A42,'2017-2018'!$B$4:$B$23,'2017-2018'!I$4:I$23)</f>
        <v>2</v>
      </c>
      <c r="I42">
        <f>_xlfn.XLOOKUP($A42,'2017-2018'!$B$4:$B$23,'2017-2018'!J$4:J$23)</f>
        <v>78.599999999999994</v>
      </c>
      <c r="J42">
        <f>_xlfn.XLOOKUP($A42,'2017-2018'!$B$4:$B$23,'2017-2018'!K$4:K$23)</f>
        <v>23.8</v>
      </c>
      <c r="K42">
        <f>_xlfn.XLOOKUP($A42,'2017-2018'!$B$4:$B$23,'2017-2018'!L$4:L$23)</f>
        <v>27.400000000000006</v>
      </c>
      <c r="L42">
        <f>_xlfn.XLOOKUP($A42,'2017-2018'!$B$4:$B$23,'2017-2018'!M$4:M$23)</f>
        <v>656</v>
      </c>
      <c r="M42">
        <f>_xlfn.XLOOKUP($A42,'2017-2018'!$B$4:$B$23,'2017-2018'!N$4:N$23)</f>
        <v>656</v>
      </c>
      <c r="N42">
        <f>_xlfn.XLOOKUP($A42,'2017-2018'!$B$4:$B$23,'2017-2018'!O$4:O$23)</f>
        <v>6</v>
      </c>
      <c r="O42">
        <f>_xlfn.XLOOKUP($A42,'2017-2018'!$B$4:$B$23,'2017-2018'!P$4:P$23)</f>
        <v>12</v>
      </c>
      <c r="P42">
        <f>_xlfn.XLOOKUP($A42,'2017-2018'!$B$4:$B$23,'2017-2018'!Q$4:Q$23)</f>
        <v>93</v>
      </c>
      <c r="Q42">
        <f>_xlfn.XLOOKUP($A42,'2017-2018'!$B$4:$B$23,'2017-2018'!R$4:R$23)</f>
        <v>13</v>
      </c>
      <c r="R42">
        <f>_xlfn.XLOOKUP($A42,'2017-2018'!$B$4:$B$23,'2017-2018'!S$4:S$23)</f>
        <v>4</v>
      </c>
      <c r="S42">
        <f>_xlfn.XLOOKUP($A42,'2017-2018'!$B$4:$B$23,'2017-2018'!T$4:T$23)</f>
        <v>67</v>
      </c>
      <c r="T42">
        <f>_xlfn.XLOOKUP($A42,'2017-2018'!$B$4:$B$23,'2017-2018'!U$4:U$23)</f>
        <v>2</v>
      </c>
      <c r="U42">
        <f>_xlfn.XLOOKUP($A42,'2017-2018'!$B$4:$B$23,'2017-2018'!V$4:V$23)</f>
        <v>2</v>
      </c>
      <c r="V42">
        <f>_xlfn.XLOOKUP($A42,'2017-2018'!$B$4:$B$23,'2017-2018'!W$4:W$23)</f>
        <v>58</v>
      </c>
      <c r="W42">
        <f>_xlfn.XLOOKUP($A42,'2017-2018'!$B$4:$B$23,'2017-2018'!X$4:X$23)</f>
        <v>620</v>
      </c>
      <c r="X42">
        <f>_xlfn.XLOOKUP($A42,'2017-2018'!$B$4:$B$23,'2017-2018'!Y$4:Y$23)</f>
        <v>195</v>
      </c>
      <c r="Y42">
        <f>_xlfn.XLOOKUP($A42,'2017-2018'!$B$4:$B$23,'2017-2018'!Z$4:Z$23)</f>
        <v>344</v>
      </c>
      <c r="Z42">
        <f>_xlfn.XLOOKUP($A42,'2017-2018'!$B$4:$B$23,'2017-2018'!AA$4:AA$23)</f>
        <v>26164</v>
      </c>
      <c r="AA42">
        <f>_xlfn.XLOOKUP($A42,'2017-2018'!$B$4:$B$23,'2017-2018'!AB$4:AB$23)</f>
        <v>118</v>
      </c>
      <c r="AB42">
        <f>_xlfn.XLOOKUP($A42,'2017-2018'!$B$4:$B$23,'2017-2018'!AC$4:AC$23)</f>
        <v>4546</v>
      </c>
      <c r="AC42">
        <f>_xlfn.XLOOKUP($A42,'2017-2018'!$B$4:$B$23,'2017-2018'!AD$4:AD$23)</f>
        <v>691</v>
      </c>
      <c r="AD42">
        <f>_xlfn.XLOOKUP($A42,'2017-2018'!$B$4:$B$23,'2017-2018'!AE$4:AE$23)</f>
        <v>284</v>
      </c>
      <c r="AE42">
        <f>_xlfn.XLOOKUP($A42,'2017-2018'!$B$4:$B$23,'2017-2018'!AF$4:AF$23)</f>
        <v>317.5</v>
      </c>
      <c r="AF42">
        <f>_xlfn.XLOOKUP($A42,'2017-2018'!$B$4:$B$23,'2017-2018'!AG$4:AG$23)</f>
        <v>91.35</v>
      </c>
      <c r="AG42">
        <f>_xlfn.XLOOKUP($A42,'2017-2018'!$B$4:$B$23,'2017-2018'!AH$4:AH$23)</f>
        <v>31</v>
      </c>
      <c r="AH42">
        <f>_xlfn.XLOOKUP($A42,'2017-2018'!$B$4:$B$23,'2017-2018'!AI$4:AI$23)</f>
        <v>32</v>
      </c>
      <c r="AI42">
        <f>_xlfn.XLOOKUP($A42,'2017-2018'!$B$4:$B$23,'2017-2018'!AJ$4:AJ$23)</f>
        <v>1010</v>
      </c>
      <c r="AJ42">
        <f>_xlfn.XLOOKUP($A42,'2017-2018'!$B$4:$B$23,'2017-2018'!AK$4:AK$23)</f>
        <v>32</v>
      </c>
      <c r="AK42">
        <f>_xlfn.XLOOKUP($A42,'2017-2018'!$B$4:$B$23,'2017-2018'!AL$4:AL$23)</f>
        <v>31.5625</v>
      </c>
      <c r="AL42">
        <f>_xlfn.XLOOKUP($A42,'2017-2018'!$B$4:$B$23,'2017-2018'!AM$4:AM$23)</f>
        <v>54070</v>
      </c>
      <c r="AM42">
        <f>_xlfn.XLOOKUP($A42,'2017-2018'!$B$4:$B$23,'2017-2018'!AN$4:AN$23)</f>
        <v>0.06</v>
      </c>
      <c r="AN42">
        <f>_xlfn.XLOOKUP($A42,'2017-2018'!$B$4:$B$23,'2017-2018'!AO$4:AO$23)</f>
        <v>1</v>
      </c>
      <c r="AO42">
        <f>_xlfn.XLOOKUP($A42,'2017-2018'!$B$4:$B$23,'2017-2018'!AP$4:AP$23)</f>
        <v>0</v>
      </c>
      <c r="AP42">
        <f>_xlfn.XLOOKUP($A42,'2017-2018'!$B$4:$B$23,'2017-2018'!AQ$4:AQ$23)</f>
        <v>1</v>
      </c>
      <c r="AQ42">
        <f>_xlfn.XLOOKUP($A42,'2017-2018'!$B$4:$B$23,'2017-2018'!AR$4:AR$23)</f>
        <v>0</v>
      </c>
      <c r="AR42">
        <f>_xlfn.XLOOKUP($A42,'2017-2018'!$B$4:$B$23,'2017-2018'!AS$4:AS$23)</f>
        <v>1</v>
      </c>
      <c r="AS42" t="str">
        <f>_xlfn.XLOOKUP($A42,'2017-2018'!$B$4:$B$23,'2017-2018'!AT$4:AT$23)</f>
        <v>17/18</v>
      </c>
    </row>
    <row r="43" spans="1:45" x14ac:dyDescent="0.25">
      <c r="A43">
        <v>2</v>
      </c>
      <c r="B43" t="str">
        <f>_xlfn.XLOOKUP($A43,'2017-2018'!$B$4:$B$23,'2017-2018'!C$4:C$23)</f>
        <v>Manchester United</v>
      </c>
      <c r="C43">
        <f>_xlfn.XLOOKUP($A43,'2017-2018'!$B$4:$B$23,'2017-2018'!D$4:D$23)</f>
        <v>68</v>
      </c>
      <c r="D43">
        <f>_xlfn.XLOOKUP($A43,'2017-2018'!$B$4:$B$23,'2017-2018'!E$4:E$23)</f>
        <v>28</v>
      </c>
      <c r="E43">
        <f>_xlfn.XLOOKUP($A43,'2017-2018'!$B$4:$B$23,'2017-2018'!F$4:F$23)</f>
        <v>40</v>
      </c>
      <c r="F43">
        <f>_xlfn.XLOOKUP($A43,'2017-2018'!$B$4:$B$23,'2017-2018'!G$4:G$23)</f>
        <v>19</v>
      </c>
      <c r="G43">
        <f>_xlfn.XLOOKUP($A43,'2017-2018'!$B$4:$B$23,'2017-2018'!H$4:H$23)</f>
        <v>64</v>
      </c>
      <c r="H43">
        <f>_xlfn.XLOOKUP($A43,'2017-2018'!$B$4:$B$23,'2017-2018'!I$4:I$23)</f>
        <v>1</v>
      </c>
      <c r="I43">
        <f>_xlfn.XLOOKUP($A43,'2017-2018'!$B$4:$B$23,'2017-2018'!J$4:J$23)</f>
        <v>55.7</v>
      </c>
      <c r="J43">
        <f>_xlfn.XLOOKUP($A43,'2017-2018'!$B$4:$B$23,'2017-2018'!K$4:K$23)</f>
        <v>40.700000000000003</v>
      </c>
      <c r="K43">
        <f>_xlfn.XLOOKUP($A43,'2017-2018'!$B$4:$B$23,'2017-2018'!L$4:L$23)</f>
        <v>12.299999999999997</v>
      </c>
      <c r="L43">
        <f>_xlfn.XLOOKUP($A43,'2017-2018'!$B$4:$B$23,'2017-2018'!M$4:M$23)</f>
        <v>509</v>
      </c>
      <c r="M43">
        <f>_xlfn.XLOOKUP($A43,'2017-2018'!$B$4:$B$23,'2017-2018'!N$4:N$23)</f>
        <v>509</v>
      </c>
      <c r="N43">
        <f>_xlfn.XLOOKUP($A43,'2017-2018'!$B$4:$B$23,'2017-2018'!O$4:O$23)</f>
        <v>1</v>
      </c>
      <c r="O43">
        <f>_xlfn.XLOOKUP($A43,'2017-2018'!$B$4:$B$23,'2017-2018'!P$4:P$23)</f>
        <v>12</v>
      </c>
      <c r="P43">
        <f>_xlfn.XLOOKUP($A43,'2017-2018'!$B$4:$B$23,'2017-2018'!Q$4:Q$23)</f>
        <v>56</v>
      </c>
      <c r="Q43">
        <f>_xlfn.XLOOKUP($A43,'2017-2018'!$B$4:$B$23,'2017-2018'!R$4:R$23)</f>
        <v>13</v>
      </c>
      <c r="R43">
        <f>_xlfn.XLOOKUP($A43,'2017-2018'!$B$4:$B$23,'2017-2018'!S$4:S$23)</f>
        <v>4</v>
      </c>
      <c r="S43">
        <f>_xlfn.XLOOKUP($A43,'2017-2018'!$B$4:$B$23,'2017-2018'!T$4:T$23)</f>
        <v>88</v>
      </c>
      <c r="T43">
        <f>_xlfn.XLOOKUP($A43,'2017-2018'!$B$4:$B$23,'2017-2018'!U$4:U$23)</f>
        <v>2</v>
      </c>
      <c r="U43">
        <f>_xlfn.XLOOKUP($A43,'2017-2018'!$B$4:$B$23,'2017-2018'!V$4:V$23)</f>
        <v>1</v>
      </c>
      <c r="V43">
        <f>_xlfn.XLOOKUP($A43,'2017-2018'!$B$4:$B$23,'2017-2018'!W$4:W$23)</f>
        <v>117</v>
      </c>
      <c r="W43">
        <f>_xlfn.XLOOKUP($A43,'2017-2018'!$B$4:$B$23,'2017-2018'!X$4:X$23)</f>
        <v>926</v>
      </c>
      <c r="X43">
        <f>_xlfn.XLOOKUP($A43,'2017-2018'!$B$4:$B$23,'2017-2018'!Y$4:Y$23)</f>
        <v>173</v>
      </c>
      <c r="Y43">
        <f>_xlfn.XLOOKUP($A43,'2017-2018'!$B$4:$B$23,'2017-2018'!Z$4:Z$23)</f>
        <v>405</v>
      </c>
      <c r="Z43">
        <f>_xlfn.XLOOKUP($A43,'2017-2018'!$B$4:$B$23,'2017-2018'!AA$4:AA$23)</f>
        <v>17765</v>
      </c>
      <c r="AA43">
        <f>_xlfn.XLOOKUP($A43,'2017-2018'!$B$4:$B$23,'2017-2018'!AB$4:AB$23)</f>
        <v>85</v>
      </c>
      <c r="AB43">
        <f>_xlfn.XLOOKUP($A43,'2017-2018'!$B$4:$B$23,'2017-2018'!AC$4:AC$23)</f>
        <v>2878</v>
      </c>
      <c r="AC43">
        <f>_xlfn.XLOOKUP($A43,'2017-2018'!$B$4:$B$23,'2017-2018'!AD$4:AD$23)</f>
        <v>753</v>
      </c>
      <c r="AD43">
        <f>_xlfn.XLOOKUP($A43,'2017-2018'!$B$4:$B$23,'2017-2018'!AE$4:AE$23)</f>
        <v>220</v>
      </c>
      <c r="AE43">
        <f>_xlfn.XLOOKUP($A43,'2017-2018'!$B$4:$B$23,'2017-2018'!AF$4:AF$23)</f>
        <v>198.4</v>
      </c>
      <c r="AF43">
        <f>_xlfn.XLOOKUP($A43,'2017-2018'!$B$4:$B$23,'2017-2018'!AG$4:AG$23)</f>
        <v>45.5</v>
      </c>
      <c r="AG43">
        <f>_xlfn.XLOOKUP($A43,'2017-2018'!$B$4:$B$23,'2017-2018'!AH$4:AH$23)</f>
        <v>13</v>
      </c>
      <c r="AH43">
        <f>_xlfn.XLOOKUP($A43,'2017-2018'!$B$4:$B$23,'2017-2018'!AI$4:AI$23)</f>
        <v>11</v>
      </c>
      <c r="AI43">
        <f>_xlfn.XLOOKUP($A43,'2017-2018'!$B$4:$B$23,'2017-2018'!AJ$4:AJ$23)</f>
        <v>849.5</v>
      </c>
      <c r="AJ43">
        <f>_xlfn.XLOOKUP($A43,'2017-2018'!$B$4:$B$23,'2017-2018'!AK$4:AK$23)</f>
        <v>35</v>
      </c>
      <c r="AK43">
        <f>_xlfn.XLOOKUP($A43,'2017-2018'!$B$4:$B$23,'2017-2018'!AL$4:AL$23)</f>
        <v>24.271428571428572</v>
      </c>
      <c r="AL43">
        <f>_xlfn.XLOOKUP($A43,'2017-2018'!$B$4:$B$23,'2017-2018'!AM$4:AM$23)</f>
        <v>74976</v>
      </c>
      <c r="AM43">
        <f>_xlfn.XLOOKUP($A43,'2017-2018'!$B$4:$B$23,'2017-2018'!AN$4:AN$23)</f>
        <v>0.24</v>
      </c>
      <c r="AN43">
        <f>_xlfn.XLOOKUP($A43,'2017-2018'!$B$4:$B$23,'2017-2018'!AO$4:AO$23)</f>
        <v>1</v>
      </c>
      <c r="AO43">
        <f>_xlfn.XLOOKUP($A43,'2017-2018'!$B$4:$B$23,'2017-2018'!AP$4:AP$23)</f>
        <v>0</v>
      </c>
      <c r="AP43">
        <f>_xlfn.XLOOKUP($A43,'2017-2018'!$B$4:$B$23,'2017-2018'!AQ$4:AQ$23)</f>
        <v>1</v>
      </c>
      <c r="AQ43">
        <f>_xlfn.XLOOKUP($A43,'2017-2018'!$B$4:$B$23,'2017-2018'!AR$4:AR$23)</f>
        <v>0</v>
      </c>
      <c r="AR43">
        <f>_xlfn.XLOOKUP($A43,'2017-2018'!$B$4:$B$23,'2017-2018'!AS$4:AS$23)</f>
        <v>1</v>
      </c>
      <c r="AS43" t="str">
        <f>_xlfn.XLOOKUP($A43,'2017-2018'!$B$4:$B$23,'2017-2018'!AT$4:AT$23)</f>
        <v>17/18</v>
      </c>
    </row>
    <row r="44" spans="1:45" x14ac:dyDescent="0.25">
      <c r="A44">
        <v>3</v>
      </c>
      <c r="B44" t="str">
        <f>_xlfn.XLOOKUP($A44,'2017-2018'!$B$4:$B$23,'2017-2018'!C$4:C$23)</f>
        <v>Tottenham Hotspur</v>
      </c>
      <c r="C44">
        <f>_xlfn.XLOOKUP($A44,'2017-2018'!$B$4:$B$23,'2017-2018'!D$4:D$23)</f>
        <v>74</v>
      </c>
      <c r="D44">
        <f>_xlfn.XLOOKUP($A44,'2017-2018'!$B$4:$B$23,'2017-2018'!E$4:E$23)</f>
        <v>36</v>
      </c>
      <c r="E44">
        <f>_xlfn.XLOOKUP($A44,'2017-2018'!$B$4:$B$23,'2017-2018'!F$4:F$23)</f>
        <v>38</v>
      </c>
      <c r="F44">
        <f>_xlfn.XLOOKUP($A44,'2017-2018'!$B$4:$B$23,'2017-2018'!G$4:G$23)</f>
        <v>16</v>
      </c>
      <c r="G44">
        <f>_xlfn.XLOOKUP($A44,'2017-2018'!$B$4:$B$23,'2017-2018'!H$4:H$23)</f>
        <v>50</v>
      </c>
      <c r="H44">
        <f>_xlfn.XLOOKUP($A44,'2017-2018'!$B$4:$B$23,'2017-2018'!I$4:I$23)</f>
        <v>2</v>
      </c>
      <c r="I44">
        <f>_xlfn.XLOOKUP($A44,'2017-2018'!$B$4:$B$23,'2017-2018'!J$4:J$23)</f>
        <v>64.7</v>
      </c>
      <c r="J44">
        <f>_xlfn.XLOOKUP($A44,'2017-2018'!$B$4:$B$23,'2017-2018'!K$4:K$23)</f>
        <v>33.9</v>
      </c>
      <c r="K44">
        <f>_xlfn.XLOOKUP($A44,'2017-2018'!$B$4:$B$23,'2017-2018'!L$4:L$23)</f>
        <v>9.2999999999999972</v>
      </c>
      <c r="L44">
        <f>_xlfn.XLOOKUP($A44,'2017-2018'!$B$4:$B$23,'2017-2018'!M$4:M$23)</f>
        <v>620</v>
      </c>
      <c r="M44">
        <f>_xlfn.XLOOKUP($A44,'2017-2018'!$B$4:$B$23,'2017-2018'!N$4:N$23)</f>
        <v>620</v>
      </c>
      <c r="N44">
        <f>_xlfn.XLOOKUP($A44,'2017-2018'!$B$4:$B$23,'2017-2018'!O$4:O$23)</f>
        <v>2</v>
      </c>
      <c r="O44">
        <f>_xlfn.XLOOKUP($A44,'2017-2018'!$B$4:$B$23,'2017-2018'!P$4:P$23)</f>
        <v>11</v>
      </c>
      <c r="P44">
        <f>_xlfn.XLOOKUP($A44,'2017-2018'!$B$4:$B$23,'2017-2018'!Q$4:Q$23)</f>
        <v>64</v>
      </c>
      <c r="Q44">
        <f>_xlfn.XLOOKUP($A44,'2017-2018'!$B$4:$B$23,'2017-2018'!R$4:R$23)</f>
        <v>11</v>
      </c>
      <c r="R44">
        <f>_xlfn.XLOOKUP($A44,'2017-2018'!$B$4:$B$23,'2017-2018'!S$4:S$23)</f>
        <v>8</v>
      </c>
      <c r="S44">
        <f>_xlfn.XLOOKUP($A44,'2017-2018'!$B$4:$B$23,'2017-2018'!T$4:T$23)</f>
        <v>88</v>
      </c>
      <c r="T44">
        <f>_xlfn.XLOOKUP($A44,'2017-2018'!$B$4:$B$23,'2017-2018'!U$4:U$23)</f>
        <v>1</v>
      </c>
      <c r="U44">
        <f>_xlfn.XLOOKUP($A44,'2017-2018'!$B$4:$B$23,'2017-2018'!V$4:V$23)</f>
        <v>3</v>
      </c>
      <c r="V44">
        <f>_xlfn.XLOOKUP($A44,'2017-2018'!$B$4:$B$23,'2017-2018'!W$4:W$23)</f>
        <v>89</v>
      </c>
      <c r="W44">
        <f>_xlfn.XLOOKUP($A44,'2017-2018'!$B$4:$B$23,'2017-2018'!X$4:X$23)</f>
        <v>878</v>
      </c>
      <c r="X44">
        <f>_xlfn.XLOOKUP($A44,'2017-2018'!$B$4:$B$23,'2017-2018'!Y$4:Y$23)</f>
        <v>212</v>
      </c>
      <c r="Y44">
        <f>_xlfn.XLOOKUP($A44,'2017-2018'!$B$4:$B$23,'2017-2018'!Z$4:Z$23)</f>
        <v>384</v>
      </c>
      <c r="Z44">
        <f>_xlfn.XLOOKUP($A44,'2017-2018'!$B$4:$B$23,'2017-2018'!AA$4:AA$23)</f>
        <v>19284</v>
      </c>
      <c r="AA44">
        <f>_xlfn.XLOOKUP($A44,'2017-2018'!$B$4:$B$23,'2017-2018'!AB$4:AB$23)</f>
        <v>83</v>
      </c>
      <c r="AB44">
        <f>_xlfn.XLOOKUP($A44,'2017-2018'!$B$4:$B$23,'2017-2018'!AC$4:AC$23)</f>
        <v>3176</v>
      </c>
      <c r="AC44">
        <f>_xlfn.XLOOKUP($A44,'2017-2018'!$B$4:$B$23,'2017-2018'!AD$4:AD$23)</f>
        <v>825</v>
      </c>
      <c r="AD44">
        <f>_xlfn.XLOOKUP($A44,'2017-2018'!$B$4:$B$23,'2017-2018'!AE$4:AE$23)</f>
        <v>246</v>
      </c>
      <c r="AE44">
        <f>_xlfn.XLOOKUP($A44,'2017-2018'!$B$4:$B$23,'2017-2018'!AF$4:AF$23)</f>
        <v>123.5</v>
      </c>
      <c r="AF44">
        <f>_xlfn.XLOOKUP($A44,'2017-2018'!$B$4:$B$23,'2017-2018'!AG$4:AG$23)</f>
        <v>103.8</v>
      </c>
      <c r="AG44">
        <f>_xlfn.XLOOKUP($A44,'2017-2018'!$B$4:$B$23,'2017-2018'!AH$4:AH$23)</f>
        <v>14</v>
      </c>
      <c r="AH44">
        <f>_xlfn.XLOOKUP($A44,'2017-2018'!$B$4:$B$23,'2017-2018'!AI$4:AI$23)</f>
        <v>11</v>
      </c>
      <c r="AI44">
        <f>_xlfn.XLOOKUP($A44,'2017-2018'!$B$4:$B$23,'2017-2018'!AJ$4:AJ$23)</f>
        <v>829.6</v>
      </c>
      <c r="AJ44">
        <f>_xlfn.XLOOKUP($A44,'2017-2018'!$B$4:$B$23,'2017-2018'!AK$4:AK$23)</f>
        <v>34</v>
      </c>
      <c r="AK44">
        <f>_xlfn.XLOOKUP($A44,'2017-2018'!$B$4:$B$23,'2017-2018'!AL$4:AL$23)</f>
        <v>24.400000000000002</v>
      </c>
      <c r="AL44">
        <f>_xlfn.XLOOKUP($A44,'2017-2018'!$B$4:$B$23,'2017-2018'!AM$4:AM$23)</f>
        <v>67953</v>
      </c>
      <c r="AM44">
        <f>_xlfn.XLOOKUP($A44,'2017-2018'!$B$4:$B$23,'2017-2018'!AN$4:AN$23)</f>
        <v>0.12</v>
      </c>
      <c r="AN44">
        <f>_xlfn.XLOOKUP($A44,'2017-2018'!$B$4:$B$23,'2017-2018'!AO$4:AO$23)</f>
        <v>1</v>
      </c>
      <c r="AO44">
        <f>_xlfn.XLOOKUP($A44,'2017-2018'!$B$4:$B$23,'2017-2018'!AP$4:AP$23)</f>
        <v>0</v>
      </c>
      <c r="AP44">
        <f>_xlfn.XLOOKUP($A44,'2017-2018'!$B$4:$B$23,'2017-2018'!AQ$4:AQ$23)</f>
        <v>1</v>
      </c>
      <c r="AQ44">
        <f>_xlfn.XLOOKUP($A44,'2017-2018'!$B$4:$B$23,'2017-2018'!AR$4:AR$23)</f>
        <v>0</v>
      </c>
      <c r="AR44">
        <f>_xlfn.XLOOKUP($A44,'2017-2018'!$B$4:$B$23,'2017-2018'!AS$4:AS$23)</f>
        <v>1</v>
      </c>
      <c r="AS44" t="str">
        <f>_xlfn.XLOOKUP($A44,'2017-2018'!$B$4:$B$23,'2017-2018'!AT$4:AT$23)</f>
        <v>17/18</v>
      </c>
    </row>
    <row r="45" spans="1:45" x14ac:dyDescent="0.25">
      <c r="A45">
        <v>4</v>
      </c>
      <c r="B45" t="str">
        <f>_xlfn.XLOOKUP($A45,'2017-2018'!$B$4:$B$23,'2017-2018'!C$4:C$23)</f>
        <v>Liverpool</v>
      </c>
      <c r="C45">
        <f>_xlfn.XLOOKUP($A45,'2017-2018'!$B$4:$B$23,'2017-2018'!D$4:D$23)</f>
        <v>84</v>
      </c>
      <c r="D45">
        <f>_xlfn.XLOOKUP($A45,'2017-2018'!$B$4:$B$23,'2017-2018'!E$4:E$23)</f>
        <v>38</v>
      </c>
      <c r="E45">
        <f>_xlfn.XLOOKUP($A45,'2017-2018'!$B$4:$B$23,'2017-2018'!F$4:F$23)</f>
        <v>46</v>
      </c>
      <c r="F45">
        <f>_xlfn.XLOOKUP($A45,'2017-2018'!$B$4:$B$23,'2017-2018'!G$4:G$23)</f>
        <v>17</v>
      </c>
      <c r="G45">
        <f>_xlfn.XLOOKUP($A45,'2017-2018'!$B$4:$B$23,'2017-2018'!H$4:H$23)</f>
        <v>44</v>
      </c>
      <c r="H45">
        <f>_xlfn.XLOOKUP($A45,'2017-2018'!$B$4:$B$23,'2017-2018'!I$4:I$23)</f>
        <v>1</v>
      </c>
      <c r="I45">
        <f>_xlfn.XLOOKUP($A45,'2017-2018'!$B$4:$B$23,'2017-2018'!J$4:J$23)</f>
        <v>72.900000000000006</v>
      </c>
      <c r="J45">
        <f>_xlfn.XLOOKUP($A45,'2017-2018'!$B$4:$B$23,'2017-2018'!K$4:K$23)</f>
        <v>33.799999999999997</v>
      </c>
      <c r="K45">
        <f>_xlfn.XLOOKUP($A45,'2017-2018'!$B$4:$B$23,'2017-2018'!L$4:L$23)</f>
        <v>11.099999999999994</v>
      </c>
      <c r="L45">
        <f>_xlfn.XLOOKUP($A45,'2017-2018'!$B$4:$B$23,'2017-2018'!M$4:M$23)</f>
        <v>635</v>
      </c>
      <c r="M45">
        <f>_xlfn.XLOOKUP($A45,'2017-2018'!$B$4:$B$23,'2017-2018'!N$4:N$23)</f>
        <v>635</v>
      </c>
      <c r="N45">
        <f>_xlfn.XLOOKUP($A45,'2017-2018'!$B$4:$B$23,'2017-2018'!O$4:O$23)</f>
        <v>2</v>
      </c>
      <c r="O45">
        <f>_xlfn.XLOOKUP($A45,'2017-2018'!$B$4:$B$23,'2017-2018'!P$4:P$23)</f>
        <v>12</v>
      </c>
      <c r="P45">
        <f>_xlfn.XLOOKUP($A45,'2017-2018'!$B$4:$B$23,'2017-2018'!Q$4:Q$23)</f>
        <v>75</v>
      </c>
      <c r="Q45">
        <f>_xlfn.XLOOKUP($A45,'2017-2018'!$B$4:$B$23,'2017-2018'!R$4:R$23)</f>
        <v>9</v>
      </c>
      <c r="R45">
        <f>_xlfn.XLOOKUP($A45,'2017-2018'!$B$4:$B$23,'2017-2018'!S$4:S$23)</f>
        <v>9</v>
      </c>
      <c r="S45">
        <f>_xlfn.XLOOKUP($A45,'2017-2018'!$B$4:$B$23,'2017-2018'!T$4:T$23)</f>
        <v>70</v>
      </c>
      <c r="T45">
        <f>_xlfn.XLOOKUP($A45,'2017-2018'!$B$4:$B$23,'2017-2018'!U$4:U$23)</f>
        <v>0</v>
      </c>
      <c r="U45">
        <f>_xlfn.XLOOKUP($A45,'2017-2018'!$B$4:$B$23,'2017-2018'!V$4:V$23)</f>
        <v>6</v>
      </c>
      <c r="V45">
        <f>_xlfn.XLOOKUP($A45,'2017-2018'!$B$4:$B$23,'2017-2018'!W$4:W$23)</f>
        <v>64</v>
      </c>
      <c r="W45">
        <f>_xlfn.XLOOKUP($A45,'2017-2018'!$B$4:$B$23,'2017-2018'!X$4:X$23)</f>
        <v>788</v>
      </c>
      <c r="X45">
        <f>_xlfn.XLOOKUP($A45,'2017-2018'!$B$4:$B$23,'2017-2018'!Y$4:Y$23)</f>
        <v>196</v>
      </c>
      <c r="Y45">
        <f>_xlfn.XLOOKUP($A45,'2017-2018'!$B$4:$B$23,'2017-2018'!Z$4:Z$23)</f>
        <v>344</v>
      </c>
      <c r="Z45">
        <f>_xlfn.XLOOKUP($A45,'2017-2018'!$B$4:$B$23,'2017-2018'!AA$4:AA$23)</f>
        <v>20367</v>
      </c>
      <c r="AA45">
        <f>_xlfn.XLOOKUP($A45,'2017-2018'!$B$4:$B$23,'2017-2018'!AB$4:AB$23)</f>
        <v>106</v>
      </c>
      <c r="AB45">
        <f>_xlfn.XLOOKUP($A45,'2017-2018'!$B$4:$B$23,'2017-2018'!AC$4:AC$23)</f>
        <v>3313</v>
      </c>
      <c r="AC45">
        <f>_xlfn.XLOOKUP($A45,'2017-2018'!$B$4:$B$23,'2017-2018'!AD$4:AD$23)</f>
        <v>764</v>
      </c>
      <c r="AD45">
        <f>_xlfn.XLOOKUP($A45,'2017-2018'!$B$4:$B$23,'2017-2018'!AE$4:AE$23)</f>
        <v>230</v>
      </c>
      <c r="AE45">
        <f>_xlfn.XLOOKUP($A45,'2017-2018'!$B$4:$B$23,'2017-2018'!AF$4:AF$23)</f>
        <v>173.88</v>
      </c>
      <c r="AF45">
        <f>_xlfn.XLOOKUP($A45,'2017-2018'!$B$4:$B$23,'2017-2018'!AG$4:AG$23)</f>
        <v>184.5</v>
      </c>
      <c r="AG45">
        <f>_xlfn.XLOOKUP($A45,'2017-2018'!$B$4:$B$23,'2017-2018'!AH$4:AH$23)</f>
        <v>15</v>
      </c>
      <c r="AH45">
        <f>_xlfn.XLOOKUP($A45,'2017-2018'!$B$4:$B$23,'2017-2018'!AI$4:AI$23)</f>
        <v>13</v>
      </c>
      <c r="AI45">
        <f>_xlfn.XLOOKUP($A45,'2017-2018'!$B$4:$B$23,'2017-2018'!AJ$4:AJ$23)</f>
        <v>857.5</v>
      </c>
      <c r="AJ45">
        <f>_xlfn.XLOOKUP($A45,'2017-2018'!$B$4:$B$23,'2017-2018'!AK$4:AK$23)</f>
        <v>35</v>
      </c>
      <c r="AK45">
        <f>_xlfn.XLOOKUP($A45,'2017-2018'!$B$4:$B$23,'2017-2018'!AL$4:AL$23)</f>
        <v>24.5</v>
      </c>
      <c r="AL45">
        <f>_xlfn.XLOOKUP($A45,'2017-2018'!$B$4:$B$23,'2017-2018'!AM$4:AM$23)</f>
        <v>53049</v>
      </c>
      <c r="AM45">
        <f>_xlfn.XLOOKUP($A45,'2017-2018'!$B$4:$B$23,'2017-2018'!AN$4:AN$23)</f>
        <v>0.27</v>
      </c>
      <c r="AN45">
        <f>_xlfn.XLOOKUP($A45,'2017-2018'!$B$4:$B$23,'2017-2018'!AO$4:AO$23)</f>
        <v>1</v>
      </c>
      <c r="AO45">
        <f>_xlfn.XLOOKUP($A45,'2017-2018'!$B$4:$B$23,'2017-2018'!AP$4:AP$23)</f>
        <v>0</v>
      </c>
      <c r="AP45">
        <f>_xlfn.XLOOKUP($A45,'2017-2018'!$B$4:$B$23,'2017-2018'!AQ$4:AQ$23)</f>
        <v>1</v>
      </c>
      <c r="AQ45">
        <f>_xlfn.XLOOKUP($A45,'2017-2018'!$B$4:$B$23,'2017-2018'!AR$4:AR$23)</f>
        <v>0</v>
      </c>
      <c r="AR45">
        <f>_xlfn.XLOOKUP($A45,'2017-2018'!$B$4:$B$23,'2017-2018'!AS$4:AS$23)</f>
        <v>1</v>
      </c>
      <c r="AS45" t="str">
        <f>_xlfn.XLOOKUP($A45,'2017-2018'!$B$4:$B$23,'2017-2018'!AT$4:AT$23)</f>
        <v>17/18</v>
      </c>
    </row>
    <row r="46" spans="1:45" x14ac:dyDescent="0.25">
      <c r="A46">
        <v>5</v>
      </c>
      <c r="B46" t="str">
        <f>_xlfn.XLOOKUP($A46,'2017-2018'!$B$4:$B$23,'2017-2018'!C$4:C$23)</f>
        <v>Chelsea</v>
      </c>
      <c r="C46">
        <f>_xlfn.XLOOKUP($A46,'2017-2018'!$B$4:$B$23,'2017-2018'!D$4:D$23)</f>
        <v>62</v>
      </c>
      <c r="D46">
        <f>_xlfn.XLOOKUP($A46,'2017-2018'!$B$4:$B$23,'2017-2018'!E$4:E$23)</f>
        <v>38</v>
      </c>
      <c r="E46">
        <f>_xlfn.XLOOKUP($A46,'2017-2018'!$B$4:$B$23,'2017-2018'!F$4:F$23)</f>
        <v>24</v>
      </c>
      <c r="F46">
        <f>_xlfn.XLOOKUP($A46,'2017-2018'!$B$4:$B$23,'2017-2018'!G$4:G$23)</f>
        <v>16</v>
      </c>
      <c r="G46">
        <f>_xlfn.XLOOKUP($A46,'2017-2018'!$B$4:$B$23,'2017-2018'!H$4:H$23)</f>
        <v>42</v>
      </c>
      <c r="H46">
        <f>_xlfn.XLOOKUP($A46,'2017-2018'!$B$4:$B$23,'2017-2018'!I$4:I$23)</f>
        <v>4</v>
      </c>
      <c r="I46">
        <f>_xlfn.XLOOKUP($A46,'2017-2018'!$B$4:$B$23,'2017-2018'!J$4:J$23)</f>
        <v>54.4</v>
      </c>
      <c r="J46">
        <f>_xlfn.XLOOKUP($A46,'2017-2018'!$B$4:$B$23,'2017-2018'!K$4:K$23)</f>
        <v>33.799999999999997</v>
      </c>
      <c r="K46">
        <f>_xlfn.XLOOKUP($A46,'2017-2018'!$B$4:$B$23,'2017-2018'!L$4:L$23)</f>
        <v>7.6000000000000014</v>
      </c>
      <c r="L46">
        <f>_xlfn.XLOOKUP($A46,'2017-2018'!$B$4:$B$23,'2017-2018'!M$4:M$23)</f>
        <v>603</v>
      </c>
      <c r="M46">
        <f>_xlfn.XLOOKUP($A46,'2017-2018'!$B$4:$B$23,'2017-2018'!N$4:N$23)</f>
        <v>603</v>
      </c>
      <c r="N46">
        <f>_xlfn.XLOOKUP($A46,'2017-2018'!$B$4:$B$23,'2017-2018'!O$4:O$23)</f>
        <v>3</v>
      </c>
      <c r="O46">
        <f>_xlfn.XLOOKUP($A46,'2017-2018'!$B$4:$B$23,'2017-2018'!P$4:P$23)</f>
        <v>17</v>
      </c>
      <c r="P46">
        <f>_xlfn.XLOOKUP($A46,'2017-2018'!$B$4:$B$23,'2017-2018'!Q$4:Q$23)</f>
        <v>52</v>
      </c>
      <c r="Q46">
        <f>_xlfn.XLOOKUP($A46,'2017-2018'!$B$4:$B$23,'2017-2018'!R$4:R$23)</f>
        <v>10</v>
      </c>
      <c r="R46">
        <f>_xlfn.XLOOKUP($A46,'2017-2018'!$B$4:$B$23,'2017-2018'!S$4:S$23)</f>
        <v>1</v>
      </c>
      <c r="S46">
        <f>_xlfn.XLOOKUP($A46,'2017-2018'!$B$4:$B$23,'2017-2018'!T$4:T$23)</f>
        <v>108</v>
      </c>
      <c r="T46">
        <f>_xlfn.XLOOKUP($A46,'2017-2018'!$B$4:$B$23,'2017-2018'!U$4:U$23)</f>
        <v>2</v>
      </c>
      <c r="U46">
        <f>_xlfn.XLOOKUP($A46,'2017-2018'!$B$4:$B$23,'2017-2018'!V$4:V$23)</f>
        <v>2</v>
      </c>
      <c r="V46">
        <f>_xlfn.XLOOKUP($A46,'2017-2018'!$B$4:$B$23,'2017-2018'!W$4:W$23)</f>
        <v>81</v>
      </c>
      <c r="W46">
        <f>_xlfn.XLOOKUP($A46,'2017-2018'!$B$4:$B$23,'2017-2018'!X$4:X$23)</f>
        <v>842</v>
      </c>
      <c r="X46">
        <f>_xlfn.XLOOKUP($A46,'2017-2018'!$B$4:$B$23,'2017-2018'!Y$4:Y$23)</f>
        <v>208</v>
      </c>
      <c r="Y46">
        <f>_xlfn.XLOOKUP($A46,'2017-2018'!$B$4:$B$23,'2017-2018'!Z$4:Z$23)</f>
        <v>363</v>
      </c>
      <c r="Z46">
        <f>_xlfn.XLOOKUP($A46,'2017-2018'!$B$4:$B$23,'2017-2018'!AA$4:AA$23)</f>
        <v>18967</v>
      </c>
      <c r="AA46">
        <f>_xlfn.XLOOKUP($A46,'2017-2018'!$B$4:$B$23,'2017-2018'!AB$4:AB$23)</f>
        <v>70</v>
      </c>
      <c r="AB46">
        <f>_xlfn.XLOOKUP($A46,'2017-2018'!$B$4:$B$23,'2017-2018'!AC$4:AC$23)</f>
        <v>3019</v>
      </c>
      <c r="AC46">
        <f>_xlfn.XLOOKUP($A46,'2017-2018'!$B$4:$B$23,'2017-2018'!AD$4:AD$23)</f>
        <v>755</v>
      </c>
      <c r="AD46">
        <f>_xlfn.XLOOKUP($A46,'2017-2018'!$B$4:$B$23,'2017-2018'!AE$4:AE$23)</f>
        <v>230</v>
      </c>
      <c r="AE46">
        <f>_xlfn.XLOOKUP($A46,'2017-2018'!$B$4:$B$23,'2017-2018'!AF$4:AF$23)</f>
        <v>260.5</v>
      </c>
      <c r="AF46">
        <f>_xlfn.XLOOKUP($A46,'2017-2018'!$B$4:$B$23,'2017-2018'!AG$4:AG$23)</f>
        <v>194.6</v>
      </c>
      <c r="AG46">
        <f>_xlfn.XLOOKUP($A46,'2017-2018'!$B$4:$B$23,'2017-2018'!AH$4:AH$23)</f>
        <v>40</v>
      </c>
      <c r="AH46">
        <f>_xlfn.XLOOKUP($A46,'2017-2018'!$B$4:$B$23,'2017-2018'!AI$4:AI$23)</f>
        <v>31</v>
      </c>
      <c r="AI46">
        <f>_xlfn.XLOOKUP($A46,'2017-2018'!$B$4:$B$23,'2017-2018'!AJ$4:AJ$23)</f>
        <v>884.25</v>
      </c>
      <c r="AJ46">
        <f>_xlfn.XLOOKUP($A46,'2017-2018'!$B$4:$B$23,'2017-2018'!AK$4:AK$23)</f>
        <v>46</v>
      </c>
      <c r="AK46">
        <f>_xlfn.XLOOKUP($A46,'2017-2018'!$B$4:$B$23,'2017-2018'!AL$4:AL$23)</f>
        <v>19.222826086956523</v>
      </c>
      <c r="AL46">
        <f>_xlfn.XLOOKUP($A46,'2017-2018'!$B$4:$B$23,'2017-2018'!AM$4:AM$23)</f>
        <v>41282</v>
      </c>
      <c r="AM46">
        <f>_xlfn.XLOOKUP($A46,'2017-2018'!$B$4:$B$23,'2017-2018'!AN$4:AN$23)</f>
        <v>7.0000000000000007E-2</v>
      </c>
      <c r="AN46">
        <f>_xlfn.XLOOKUP($A46,'2017-2018'!$B$4:$B$23,'2017-2018'!AO$4:AO$23)</f>
        <v>1</v>
      </c>
      <c r="AO46">
        <f>_xlfn.XLOOKUP($A46,'2017-2018'!$B$4:$B$23,'2017-2018'!AP$4:AP$23)</f>
        <v>0</v>
      </c>
      <c r="AP46">
        <f>_xlfn.XLOOKUP($A46,'2017-2018'!$B$4:$B$23,'2017-2018'!AQ$4:AQ$23)</f>
        <v>0</v>
      </c>
      <c r="AQ46">
        <f>_xlfn.XLOOKUP($A46,'2017-2018'!$B$4:$B$23,'2017-2018'!AR$4:AR$23)</f>
        <v>0</v>
      </c>
      <c r="AR46">
        <f>_xlfn.XLOOKUP($A46,'2017-2018'!$B$4:$B$23,'2017-2018'!AS$4:AS$23)</f>
        <v>1</v>
      </c>
      <c r="AS46" t="str">
        <f>_xlfn.XLOOKUP($A46,'2017-2018'!$B$4:$B$23,'2017-2018'!AT$4:AT$23)</f>
        <v>17/18</v>
      </c>
    </row>
    <row r="47" spans="1:45" x14ac:dyDescent="0.25">
      <c r="A47">
        <v>6</v>
      </c>
      <c r="B47" t="str">
        <f>_xlfn.XLOOKUP($A47,'2017-2018'!$B$4:$B$23,'2017-2018'!C$4:C$23)</f>
        <v>Arsenal</v>
      </c>
      <c r="C47">
        <f>_xlfn.XLOOKUP($A47,'2017-2018'!$B$4:$B$23,'2017-2018'!D$4:D$23)</f>
        <v>74</v>
      </c>
      <c r="D47">
        <f>_xlfn.XLOOKUP($A47,'2017-2018'!$B$4:$B$23,'2017-2018'!E$4:E$23)</f>
        <v>51</v>
      </c>
      <c r="E47">
        <f>_xlfn.XLOOKUP($A47,'2017-2018'!$B$4:$B$23,'2017-2018'!F$4:F$23)</f>
        <v>23</v>
      </c>
      <c r="F47">
        <f>_xlfn.XLOOKUP($A47,'2017-2018'!$B$4:$B$23,'2017-2018'!G$4:G$23)</f>
        <v>13</v>
      </c>
      <c r="G47">
        <f>_xlfn.XLOOKUP($A47,'2017-2018'!$B$4:$B$23,'2017-2018'!H$4:H$23)</f>
        <v>57</v>
      </c>
      <c r="H47">
        <f>_xlfn.XLOOKUP($A47,'2017-2018'!$B$4:$B$23,'2017-2018'!I$4:I$23)</f>
        <v>2</v>
      </c>
      <c r="I47">
        <f>_xlfn.XLOOKUP($A47,'2017-2018'!$B$4:$B$23,'2017-2018'!J$4:J$23)</f>
        <v>68.3</v>
      </c>
      <c r="J47">
        <f>_xlfn.XLOOKUP($A47,'2017-2018'!$B$4:$B$23,'2017-2018'!K$4:K$23)</f>
        <v>47.8</v>
      </c>
      <c r="K47">
        <f>_xlfn.XLOOKUP($A47,'2017-2018'!$B$4:$B$23,'2017-2018'!L$4:L$23)</f>
        <v>5.7000000000000028</v>
      </c>
      <c r="L47">
        <f>_xlfn.XLOOKUP($A47,'2017-2018'!$B$4:$B$23,'2017-2018'!M$4:M$23)</f>
        <v>589</v>
      </c>
      <c r="M47">
        <f>_xlfn.XLOOKUP($A47,'2017-2018'!$B$4:$B$23,'2017-2018'!N$4:N$23)</f>
        <v>589</v>
      </c>
      <c r="N47">
        <f>_xlfn.XLOOKUP($A47,'2017-2018'!$B$4:$B$23,'2017-2018'!O$4:O$23)</f>
        <v>4</v>
      </c>
      <c r="O47">
        <f>_xlfn.XLOOKUP($A47,'2017-2018'!$B$4:$B$23,'2017-2018'!P$4:P$23)</f>
        <v>13</v>
      </c>
      <c r="P47">
        <f>_xlfn.XLOOKUP($A47,'2017-2018'!$B$4:$B$23,'2017-2018'!Q$4:Q$23)</f>
        <v>68</v>
      </c>
      <c r="Q47">
        <f>_xlfn.XLOOKUP($A47,'2017-2018'!$B$4:$B$23,'2017-2018'!R$4:R$23)</f>
        <v>7</v>
      </c>
      <c r="R47">
        <f>_xlfn.XLOOKUP($A47,'2017-2018'!$B$4:$B$23,'2017-2018'!S$4:S$23)</f>
        <v>0</v>
      </c>
      <c r="S47">
        <f>_xlfn.XLOOKUP($A47,'2017-2018'!$B$4:$B$23,'2017-2018'!T$4:T$23)</f>
        <v>89</v>
      </c>
      <c r="T47">
        <f>_xlfn.XLOOKUP($A47,'2017-2018'!$B$4:$B$23,'2017-2018'!U$4:U$23)</f>
        <v>0</v>
      </c>
      <c r="U47">
        <f>_xlfn.XLOOKUP($A47,'2017-2018'!$B$4:$B$23,'2017-2018'!V$4:V$23)</f>
        <v>6</v>
      </c>
      <c r="V47">
        <f>_xlfn.XLOOKUP($A47,'2017-2018'!$B$4:$B$23,'2017-2018'!W$4:W$23)</f>
        <v>94</v>
      </c>
      <c r="W47">
        <f>_xlfn.XLOOKUP($A47,'2017-2018'!$B$4:$B$23,'2017-2018'!X$4:X$23)</f>
        <v>879</v>
      </c>
      <c r="X47">
        <f>_xlfn.XLOOKUP($A47,'2017-2018'!$B$4:$B$23,'2017-2018'!Y$4:Y$23)</f>
        <v>218</v>
      </c>
      <c r="Y47">
        <f>_xlfn.XLOOKUP($A47,'2017-2018'!$B$4:$B$23,'2017-2018'!Z$4:Z$23)</f>
        <v>383</v>
      </c>
      <c r="Z47">
        <f>_xlfn.XLOOKUP($A47,'2017-2018'!$B$4:$B$23,'2017-2018'!AA$4:AA$23)</f>
        <v>20878</v>
      </c>
      <c r="AA47">
        <f>_xlfn.XLOOKUP($A47,'2017-2018'!$B$4:$B$23,'2017-2018'!AB$4:AB$23)</f>
        <v>117</v>
      </c>
      <c r="AB47">
        <f>_xlfn.XLOOKUP($A47,'2017-2018'!$B$4:$B$23,'2017-2018'!AC$4:AC$23)</f>
        <v>3089</v>
      </c>
      <c r="AC47">
        <f>_xlfn.XLOOKUP($A47,'2017-2018'!$B$4:$B$23,'2017-2018'!AD$4:AD$23)</f>
        <v>572</v>
      </c>
      <c r="AD47">
        <f>_xlfn.XLOOKUP($A47,'2017-2018'!$B$4:$B$23,'2017-2018'!AE$4:AE$23)</f>
        <v>225</v>
      </c>
      <c r="AE47">
        <f>_xlfn.XLOOKUP($A47,'2017-2018'!$B$4:$B$23,'2017-2018'!AF$4:AF$23)</f>
        <v>152.85</v>
      </c>
      <c r="AF47">
        <f>_xlfn.XLOOKUP($A47,'2017-2018'!$B$4:$B$23,'2017-2018'!AG$4:AG$23)</f>
        <v>162</v>
      </c>
      <c r="AG47">
        <f>_xlfn.XLOOKUP($A47,'2017-2018'!$B$4:$B$23,'2017-2018'!AH$4:AH$23)</f>
        <v>10</v>
      </c>
      <c r="AH47">
        <f>_xlfn.XLOOKUP($A47,'2017-2018'!$B$4:$B$23,'2017-2018'!AI$4:AI$23)</f>
        <v>16</v>
      </c>
      <c r="AI47">
        <f>_xlfn.XLOOKUP($A47,'2017-2018'!$B$4:$B$23,'2017-2018'!AJ$4:AJ$23)</f>
        <v>694</v>
      </c>
      <c r="AJ47">
        <f>_xlfn.XLOOKUP($A47,'2017-2018'!$B$4:$B$23,'2017-2018'!AK$4:AK$23)</f>
        <v>45</v>
      </c>
      <c r="AK47">
        <f>_xlfn.XLOOKUP($A47,'2017-2018'!$B$4:$B$23,'2017-2018'!AL$4:AL$23)</f>
        <v>15.422222222222222</v>
      </c>
      <c r="AL47">
        <f>_xlfn.XLOOKUP($A47,'2017-2018'!$B$4:$B$23,'2017-2018'!AM$4:AM$23)</f>
        <v>59323</v>
      </c>
      <c r="AM47">
        <f>_xlfn.XLOOKUP($A47,'2017-2018'!$B$4:$B$23,'2017-2018'!AN$4:AN$23)</f>
        <v>0.34</v>
      </c>
      <c r="AN47">
        <f>_xlfn.XLOOKUP($A47,'2017-2018'!$B$4:$B$23,'2017-2018'!AO$4:AO$23)</f>
        <v>1</v>
      </c>
      <c r="AO47">
        <f>_xlfn.XLOOKUP($A47,'2017-2018'!$B$4:$B$23,'2017-2018'!AP$4:AP$23)</f>
        <v>0</v>
      </c>
      <c r="AP47">
        <f>_xlfn.XLOOKUP($A47,'2017-2018'!$B$4:$B$23,'2017-2018'!AQ$4:AQ$23)</f>
        <v>0</v>
      </c>
      <c r="AQ47">
        <f>_xlfn.XLOOKUP($A47,'2017-2018'!$B$4:$B$23,'2017-2018'!AR$4:AR$23)</f>
        <v>0</v>
      </c>
      <c r="AR47">
        <f>_xlfn.XLOOKUP($A47,'2017-2018'!$B$4:$B$23,'2017-2018'!AS$4:AS$23)</f>
        <v>1</v>
      </c>
      <c r="AS47" t="str">
        <f>_xlfn.XLOOKUP($A47,'2017-2018'!$B$4:$B$23,'2017-2018'!AT$4:AT$23)</f>
        <v>17/18</v>
      </c>
    </row>
    <row r="48" spans="1:45" x14ac:dyDescent="0.25">
      <c r="A48">
        <v>7</v>
      </c>
      <c r="B48" t="str">
        <f>_xlfn.XLOOKUP($A48,'2017-2018'!$B$4:$B$23,'2017-2018'!C$4:C$23)</f>
        <v>Burnley</v>
      </c>
      <c r="C48">
        <f>_xlfn.XLOOKUP($A48,'2017-2018'!$B$4:$B$23,'2017-2018'!D$4:D$23)</f>
        <v>36</v>
      </c>
      <c r="D48">
        <f>_xlfn.XLOOKUP($A48,'2017-2018'!$B$4:$B$23,'2017-2018'!E$4:E$23)</f>
        <v>39</v>
      </c>
      <c r="E48">
        <f>_xlfn.XLOOKUP($A48,'2017-2018'!$B$4:$B$23,'2017-2018'!F$4:F$23)</f>
        <v>-3</v>
      </c>
      <c r="F48">
        <f>_xlfn.XLOOKUP($A48,'2017-2018'!$B$4:$B$23,'2017-2018'!G$4:G$23)</f>
        <v>12</v>
      </c>
      <c r="G48">
        <f>_xlfn.XLOOKUP($A48,'2017-2018'!$B$4:$B$23,'2017-2018'!H$4:H$23)</f>
        <v>65</v>
      </c>
      <c r="H48">
        <f>_xlfn.XLOOKUP($A48,'2017-2018'!$B$4:$B$23,'2017-2018'!I$4:I$23)</f>
        <v>0</v>
      </c>
      <c r="I48">
        <f>_xlfn.XLOOKUP($A48,'2017-2018'!$B$4:$B$23,'2017-2018'!J$4:J$23)</f>
        <v>32.299999999999997</v>
      </c>
      <c r="J48">
        <f>_xlfn.XLOOKUP($A48,'2017-2018'!$B$4:$B$23,'2017-2018'!K$4:K$23)</f>
        <v>51.2</v>
      </c>
      <c r="K48">
        <f>_xlfn.XLOOKUP($A48,'2017-2018'!$B$4:$B$23,'2017-2018'!L$4:L$23)</f>
        <v>3.7000000000000028</v>
      </c>
      <c r="L48">
        <f>_xlfn.XLOOKUP($A48,'2017-2018'!$B$4:$B$23,'2017-2018'!M$4:M$23)</f>
        <v>378</v>
      </c>
      <c r="M48">
        <f>_xlfn.XLOOKUP($A48,'2017-2018'!$B$4:$B$23,'2017-2018'!N$4:N$23)</f>
        <v>378</v>
      </c>
      <c r="N48">
        <f>_xlfn.XLOOKUP($A48,'2017-2018'!$B$4:$B$23,'2017-2018'!O$4:O$23)</f>
        <v>0</v>
      </c>
      <c r="O48">
        <f>_xlfn.XLOOKUP($A48,'2017-2018'!$B$4:$B$23,'2017-2018'!P$4:P$23)</f>
        <v>10</v>
      </c>
      <c r="P48">
        <f>_xlfn.XLOOKUP($A48,'2017-2018'!$B$4:$B$23,'2017-2018'!Q$4:Q$23)</f>
        <v>32</v>
      </c>
      <c r="Q48">
        <f>_xlfn.XLOOKUP($A48,'2017-2018'!$B$4:$B$23,'2017-2018'!R$4:R$23)</f>
        <v>4</v>
      </c>
      <c r="R48">
        <f>_xlfn.XLOOKUP($A48,'2017-2018'!$B$4:$B$23,'2017-2018'!S$4:S$23)</f>
        <v>0</v>
      </c>
      <c r="S48">
        <f>_xlfn.XLOOKUP($A48,'2017-2018'!$B$4:$B$23,'2017-2018'!T$4:T$23)</f>
        <v>100</v>
      </c>
      <c r="T48">
        <f>_xlfn.XLOOKUP($A48,'2017-2018'!$B$4:$B$23,'2017-2018'!U$4:U$23)</f>
        <v>1</v>
      </c>
      <c r="U48">
        <f>_xlfn.XLOOKUP($A48,'2017-2018'!$B$4:$B$23,'2017-2018'!V$4:V$23)</f>
        <v>5</v>
      </c>
      <c r="V48">
        <f>_xlfn.XLOOKUP($A48,'2017-2018'!$B$4:$B$23,'2017-2018'!W$4:W$23)</f>
        <v>121</v>
      </c>
      <c r="W48">
        <f>_xlfn.XLOOKUP($A48,'2017-2018'!$B$4:$B$23,'2017-2018'!X$4:X$23)</f>
        <v>1300</v>
      </c>
      <c r="X48">
        <f>_xlfn.XLOOKUP($A48,'2017-2018'!$B$4:$B$23,'2017-2018'!Y$4:Y$23)</f>
        <v>204</v>
      </c>
      <c r="Y48">
        <f>_xlfn.XLOOKUP($A48,'2017-2018'!$B$4:$B$23,'2017-2018'!Z$4:Z$23)</f>
        <v>350</v>
      </c>
      <c r="Z48">
        <f>_xlfn.XLOOKUP($A48,'2017-2018'!$B$4:$B$23,'2017-2018'!AA$4:AA$23)</f>
        <v>10524</v>
      </c>
      <c r="AA48">
        <f>_xlfn.XLOOKUP($A48,'2017-2018'!$B$4:$B$23,'2017-2018'!AB$4:AB$23)</f>
        <v>18</v>
      </c>
      <c r="AB48">
        <f>_xlfn.XLOOKUP($A48,'2017-2018'!$B$4:$B$23,'2017-2018'!AC$4:AC$23)</f>
        <v>2245</v>
      </c>
      <c r="AC48">
        <f>_xlfn.XLOOKUP($A48,'2017-2018'!$B$4:$B$23,'2017-2018'!AD$4:AD$23)</f>
        <v>707</v>
      </c>
      <c r="AD48">
        <f>_xlfn.XLOOKUP($A48,'2017-2018'!$B$4:$B$23,'2017-2018'!AE$4:AE$23)</f>
        <v>167</v>
      </c>
      <c r="AE48">
        <f>_xlfn.XLOOKUP($A48,'2017-2018'!$B$4:$B$23,'2017-2018'!AF$4:AF$23)</f>
        <v>35.74</v>
      </c>
      <c r="AF48">
        <f>_xlfn.XLOOKUP($A48,'2017-2018'!$B$4:$B$23,'2017-2018'!AG$4:AG$23)</f>
        <v>50</v>
      </c>
      <c r="AG48">
        <f>_xlfn.XLOOKUP($A48,'2017-2018'!$B$4:$B$23,'2017-2018'!AH$4:AH$23)</f>
        <v>18</v>
      </c>
      <c r="AH48">
        <f>_xlfn.XLOOKUP($A48,'2017-2018'!$B$4:$B$23,'2017-2018'!AI$4:AI$23)</f>
        <v>21</v>
      </c>
      <c r="AI48">
        <f>_xlfn.XLOOKUP($A48,'2017-2018'!$B$4:$B$23,'2017-2018'!AJ$4:AJ$23)</f>
        <v>169.3</v>
      </c>
      <c r="AJ48">
        <f>_xlfn.XLOOKUP($A48,'2017-2018'!$B$4:$B$23,'2017-2018'!AK$4:AK$23)</f>
        <v>30</v>
      </c>
      <c r="AK48">
        <f>_xlfn.XLOOKUP($A48,'2017-2018'!$B$4:$B$23,'2017-2018'!AL$4:AL$23)</f>
        <v>5.6433333333333335</v>
      </c>
      <c r="AL48">
        <f>_xlfn.XLOOKUP($A48,'2017-2018'!$B$4:$B$23,'2017-2018'!AM$4:AM$23)</f>
        <v>20688</v>
      </c>
      <c r="AM48">
        <f>_xlfn.XLOOKUP($A48,'2017-2018'!$B$4:$B$23,'2017-2018'!AN$4:AN$23)</f>
        <v>0.01</v>
      </c>
      <c r="AN48">
        <f>_xlfn.XLOOKUP($A48,'2017-2018'!$B$4:$B$23,'2017-2018'!AO$4:AO$23)</f>
        <v>0</v>
      </c>
      <c r="AO48">
        <f>_xlfn.XLOOKUP($A48,'2017-2018'!$B$4:$B$23,'2017-2018'!AP$4:AP$23)</f>
        <v>0</v>
      </c>
      <c r="AP48">
        <f>_xlfn.XLOOKUP($A48,'2017-2018'!$B$4:$B$23,'2017-2018'!AQ$4:AQ$23)</f>
        <v>0</v>
      </c>
      <c r="AQ48">
        <f>_xlfn.XLOOKUP($A48,'2017-2018'!$B$4:$B$23,'2017-2018'!AR$4:AR$23)</f>
        <v>0</v>
      </c>
      <c r="AR48">
        <f>_xlfn.XLOOKUP($A48,'2017-2018'!$B$4:$B$23,'2017-2018'!AS$4:AS$23)</f>
        <v>0</v>
      </c>
      <c r="AS48" t="str">
        <f>_xlfn.XLOOKUP($A48,'2017-2018'!$B$4:$B$23,'2017-2018'!AT$4:AT$23)</f>
        <v>17/18</v>
      </c>
    </row>
    <row r="49" spans="1:45" x14ac:dyDescent="0.25">
      <c r="A49">
        <v>8</v>
      </c>
      <c r="B49" t="str">
        <f>_xlfn.XLOOKUP($A49,'2017-2018'!$B$4:$B$23,'2017-2018'!C$4:C$23)</f>
        <v>Everton</v>
      </c>
      <c r="C49">
        <f>_xlfn.XLOOKUP($A49,'2017-2018'!$B$4:$B$23,'2017-2018'!D$4:D$23)</f>
        <v>44</v>
      </c>
      <c r="D49">
        <f>_xlfn.XLOOKUP($A49,'2017-2018'!$B$4:$B$23,'2017-2018'!E$4:E$23)</f>
        <v>58</v>
      </c>
      <c r="E49">
        <f>_xlfn.XLOOKUP($A49,'2017-2018'!$B$4:$B$23,'2017-2018'!F$4:F$23)</f>
        <v>-14</v>
      </c>
      <c r="F49">
        <f>_xlfn.XLOOKUP($A49,'2017-2018'!$B$4:$B$23,'2017-2018'!G$4:G$23)</f>
        <v>10</v>
      </c>
      <c r="G49">
        <f>_xlfn.XLOOKUP($A49,'2017-2018'!$B$4:$B$23,'2017-2018'!H$4:H$23)</f>
        <v>51</v>
      </c>
      <c r="H49">
        <f>_xlfn.XLOOKUP($A49,'2017-2018'!$B$4:$B$23,'2017-2018'!I$4:I$23)</f>
        <v>3</v>
      </c>
      <c r="I49">
        <f>_xlfn.XLOOKUP($A49,'2017-2018'!$B$4:$B$23,'2017-2018'!J$4:J$23)</f>
        <v>40.5</v>
      </c>
      <c r="J49">
        <f>_xlfn.XLOOKUP($A49,'2017-2018'!$B$4:$B$23,'2017-2018'!K$4:K$23)</f>
        <v>52.4</v>
      </c>
      <c r="K49">
        <f>_xlfn.XLOOKUP($A49,'2017-2018'!$B$4:$B$23,'2017-2018'!L$4:L$23)</f>
        <v>3.5</v>
      </c>
      <c r="L49">
        <f>_xlfn.XLOOKUP($A49,'2017-2018'!$B$4:$B$23,'2017-2018'!M$4:M$23)</f>
        <v>351</v>
      </c>
      <c r="M49">
        <f>_xlfn.XLOOKUP($A49,'2017-2018'!$B$4:$B$23,'2017-2018'!N$4:N$23)</f>
        <v>351</v>
      </c>
      <c r="N49">
        <f>_xlfn.XLOOKUP($A49,'2017-2018'!$B$4:$B$23,'2017-2018'!O$4:O$23)</f>
        <v>5</v>
      </c>
      <c r="O49">
        <f>_xlfn.XLOOKUP($A49,'2017-2018'!$B$4:$B$23,'2017-2018'!P$4:P$23)</f>
        <v>8</v>
      </c>
      <c r="P49">
        <f>_xlfn.XLOOKUP($A49,'2017-2018'!$B$4:$B$23,'2017-2018'!Q$4:Q$23)</f>
        <v>36</v>
      </c>
      <c r="Q49">
        <f>_xlfn.XLOOKUP($A49,'2017-2018'!$B$4:$B$23,'2017-2018'!R$4:R$23)</f>
        <v>8</v>
      </c>
      <c r="R49">
        <f>_xlfn.XLOOKUP($A49,'2017-2018'!$B$4:$B$23,'2017-2018'!S$4:S$23)</f>
        <v>2</v>
      </c>
      <c r="S49">
        <f>_xlfn.XLOOKUP($A49,'2017-2018'!$B$4:$B$23,'2017-2018'!T$4:T$23)</f>
        <v>82</v>
      </c>
      <c r="T49">
        <f>_xlfn.XLOOKUP($A49,'2017-2018'!$B$4:$B$23,'2017-2018'!U$4:U$23)</f>
        <v>0</v>
      </c>
      <c r="U49">
        <f>_xlfn.XLOOKUP($A49,'2017-2018'!$B$4:$B$23,'2017-2018'!V$4:V$23)</f>
        <v>5</v>
      </c>
      <c r="V49">
        <f>_xlfn.XLOOKUP($A49,'2017-2018'!$B$4:$B$23,'2017-2018'!W$4:W$23)</f>
        <v>119</v>
      </c>
      <c r="W49">
        <f>_xlfn.XLOOKUP($A49,'2017-2018'!$B$4:$B$23,'2017-2018'!X$4:X$23)</f>
        <v>1308</v>
      </c>
      <c r="X49">
        <f>_xlfn.XLOOKUP($A49,'2017-2018'!$B$4:$B$23,'2017-2018'!Y$4:Y$23)</f>
        <v>223</v>
      </c>
      <c r="Y49">
        <f>_xlfn.XLOOKUP($A49,'2017-2018'!$B$4:$B$23,'2017-2018'!Z$4:Z$23)</f>
        <v>460</v>
      </c>
      <c r="Z49">
        <f>_xlfn.XLOOKUP($A49,'2017-2018'!$B$4:$B$23,'2017-2018'!AA$4:AA$23)</f>
        <v>11953</v>
      </c>
      <c r="AA49">
        <f>_xlfn.XLOOKUP($A49,'2017-2018'!$B$4:$B$23,'2017-2018'!AB$4:AB$23)</f>
        <v>25</v>
      </c>
      <c r="AB49">
        <f>_xlfn.XLOOKUP($A49,'2017-2018'!$B$4:$B$23,'2017-2018'!AC$4:AC$23)</f>
        <v>2212</v>
      </c>
      <c r="AC49">
        <f>_xlfn.XLOOKUP($A49,'2017-2018'!$B$4:$B$23,'2017-2018'!AD$4:AD$23)</f>
        <v>629</v>
      </c>
      <c r="AD49">
        <f>_xlfn.XLOOKUP($A49,'2017-2018'!$B$4:$B$23,'2017-2018'!AE$4:AE$23)</f>
        <v>150</v>
      </c>
      <c r="AE49">
        <f>_xlfn.XLOOKUP($A49,'2017-2018'!$B$4:$B$23,'2017-2018'!AF$4:AF$23)</f>
        <v>203.2</v>
      </c>
      <c r="AF49">
        <f>_xlfn.XLOOKUP($A49,'2017-2018'!$B$4:$B$23,'2017-2018'!AG$4:AG$23)</f>
        <v>126.38</v>
      </c>
      <c r="AG49">
        <f>_xlfn.XLOOKUP($A49,'2017-2018'!$B$4:$B$23,'2017-2018'!AH$4:AH$23)</f>
        <v>23</v>
      </c>
      <c r="AH49">
        <f>_xlfn.XLOOKUP($A49,'2017-2018'!$B$4:$B$23,'2017-2018'!AI$4:AI$23)</f>
        <v>20</v>
      </c>
      <c r="AI49">
        <f>_xlfn.XLOOKUP($A49,'2017-2018'!$B$4:$B$23,'2017-2018'!AJ$4:AJ$23)</f>
        <v>381.25</v>
      </c>
      <c r="AJ49">
        <f>_xlfn.XLOOKUP($A49,'2017-2018'!$B$4:$B$23,'2017-2018'!AK$4:AK$23)</f>
        <v>48</v>
      </c>
      <c r="AK49">
        <f>_xlfn.XLOOKUP($A49,'2017-2018'!$B$4:$B$23,'2017-2018'!AL$4:AL$23)</f>
        <v>7.942708333333333</v>
      </c>
      <c r="AL49">
        <f>_xlfn.XLOOKUP($A49,'2017-2018'!$B$4:$B$23,'2017-2018'!AM$4:AM$23)</f>
        <v>38797</v>
      </c>
      <c r="AM49">
        <f>_xlfn.XLOOKUP($A49,'2017-2018'!$B$4:$B$23,'2017-2018'!AN$4:AN$23)</f>
        <v>0.26</v>
      </c>
      <c r="AN49">
        <f>_xlfn.XLOOKUP($A49,'2017-2018'!$B$4:$B$23,'2017-2018'!AO$4:AO$23)</f>
        <v>1</v>
      </c>
      <c r="AO49">
        <f>_xlfn.XLOOKUP($A49,'2017-2018'!$B$4:$B$23,'2017-2018'!AP$4:AP$23)</f>
        <v>0</v>
      </c>
      <c r="AP49">
        <f>_xlfn.XLOOKUP($A49,'2017-2018'!$B$4:$B$23,'2017-2018'!AQ$4:AQ$23)</f>
        <v>0</v>
      </c>
      <c r="AQ49">
        <f>_xlfn.XLOOKUP($A49,'2017-2018'!$B$4:$B$23,'2017-2018'!AR$4:AR$23)</f>
        <v>0</v>
      </c>
      <c r="AR49">
        <f>_xlfn.XLOOKUP($A49,'2017-2018'!$B$4:$B$23,'2017-2018'!AS$4:AS$23)</f>
        <v>0</v>
      </c>
      <c r="AS49" t="str">
        <f>_xlfn.XLOOKUP($A49,'2017-2018'!$B$4:$B$23,'2017-2018'!AT$4:AT$23)</f>
        <v>17/18</v>
      </c>
    </row>
    <row r="50" spans="1:45" x14ac:dyDescent="0.25">
      <c r="A50">
        <v>9</v>
      </c>
      <c r="B50" t="str">
        <f>_xlfn.XLOOKUP($A50,'2017-2018'!$B$4:$B$23,'2017-2018'!C$4:C$23)</f>
        <v>Leicester City</v>
      </c>
      <c r="C50">
        <f>_xlfn.XLOOKUP($A50,'2017-2018'!$B$4:$B$23,'2017-2018'!D$4:D$23)</f>
        <v>56</v>
      </c>
      <c r="D50">
        <f>_xlfn.XLOOKUP($A50,'2017-2018'!$B$4:$B$23,'2017-2018'!E$4:E$23)</f>
        <v>60</v>
      </c>
      <c r="E50">
        <f>_xlfn.XLOOKUP($A50,'2017-2018'!$B$4:$B$23,'2017-2018'!F$4:F$23)</f>
        <v>-4</v>
      </c>
      <c r="F50">
        <f>_xlfn.XLOOKUP($A50,'2017-2018'!$B$4:$B$23,'2017-2018'!G$4:G$23)</f>
        <v>9</v>
      </c>
      <c r="G50">
        <f>_xlfn.XLOOKUP($A50,'2017-2018'!$B$4:$B$23,'2017-2018'!H$4:H$23)</f>
        <v>52</v>
      </c>
      <c r="H50">
        <f>_xlfn.XLOOKUP($A50,'2017-2018'!$B$4:$B$23,'2017-2018'!I$4:I$23)</f>
        <v>5</v>
      </c>
      <c r="I50">
        <f>_xlfn.XLOOKUP($A50,'2017-2018'!$B$4:$B$23,'2017-2018'!J$4:J$23)</f>
        <v>50</v>
      </c>
      <c r="J50">
        <f>_xlfn.XLOOKUP($A50,'2017-2018'!$B$4:$B$23,'2017-2018'!K$4:K$23)</f>
        <v>48.1</v>
      </c>
      <c r="K50">
        <f>_xlfn.XLOOKUP($A50,'2017-2018'!$B$4:$B$23,'2017-2018'!L$4:L$23)</f>
        <v>6</v>
      </c>
      <c r="L50">
        <f>_xlfn.XLOOKUP($A50,'2017-2018'!$B$4:$B$23,'2017-2018'!M$4:M$23)</f>
        <v>417</v>
      </c>
      <c r="M50">
        <f>_xlfn.XLOOKUP($A50,'2017-2018'!$B$4:$B$23,'2017-2018'!N$4:N$23)</f>
        <v>417</v>
      </c>
      <c r="N50">
        <f>_xlfn.XLOOKUP($A50,'2017-2018'!$B$4:$B$23,'2017-2018'!O$4:O$23)</f>
        <v>5</v>
      </c>
      <c r="O50">
        <f>_xlfn.XLOOKUP($A50,'2017-2018'!$B$4:$B$23,'2017-2018'!P$4:P$23)</f>
        <v>9</v>
      </c>
      <c r="P50">
        <f>_xlfn.XLOOKUP($A50,'2017-2018'!$B$4:$B$23,'2017-2018'!Q$4:Q$23)</f>
        <v>49</v>
      </c>
      <c r="Q50">
        <f>_xlfn.XLOOKUP($A50,'2017-2018'!$B$4:$B$23,'2017-2018'!R$4:R$23)</f>
        <v>7</v>
      </c>
      <c r="R50">
        <f>_xlfn.XLOOKUP($A50,'2017-2018'!$B$4:$B$23,'2017-2018'!S$4:S$23)</f>
        <v>7</v>
      </c>
      <c r="S50">
        <f>_xlfn.XLOOKUP($A50,'2017-2018'!$B$4:$B$23,'2017-2018'!T$4:T$23)</f>
        <v>92</v>
      </c>
      <c r="T50">
        <f>_xlfn.XLOOKUP($A50,'2017-2018'!$B$4:$B$23,'2017-2018'!U$4:U$23)</f>
        <v>2</v>
      </c>
      <c r="U50">
        <f>_xlfn.XLOOKUP($A50,'2017-2018'!$B$4:$B$23,'2017-2018'!V$4:V$23)</f>
        <v>4</v>
      </c>
      <c r="V50">
        <f>_xlfn.XLOOKUP($A50,'2017-2018'!$B$4:$B$23,'2017-2018'!W$4:W$23)</f>
        <v>104</v>
      </c>
      <c r="W50">
        <f>_xlfn.XLOOKUP($A50,'2017-2018'!$B$4:$B$23,'2017-2018'!X$4:X$23)</f>
        <v>1007</v>
      </c>
      <c r="X50">
        <f>_xlfn.XLOOKUP($A50,'2017-2018'!$B$4:$B$23,'2017-2018'!Y$4:Y$23)</f>
        <v>208</v>
      </c>
      <c r="Y50">
        <f>_xlfn.XLOOKUP($A50,'2017-2018'!$B$4:$B$23,'2017-2018'!Z$4:Z$23)</f>
        <v>364</v>
      </c>
      <c r="Z50">
        <f>_xlfn.XLOOKUP($A50,'2017-2018'!$B$4:$B$23,'2017-2018'!AA$4:AA$23)</f>
        <v>12357</v>
      </c>
      <c r="AA50">
        <f>_xlfn.XLOOKUP($A50,'2017-2018'!$B$4:$B$23,'2017-2018'!AB$4:AB$23)</f>
        <v>63</v>
      </c>
      <c r="AB50">
        <f>_xlfn.XLOOKUP($A50,'2017-2018'!$B$4:$B$23,'2017-2018'!AC$4:AC$23)</f>
        <v>2094</v>
      </c>
      <c r="AC50">
        <f>_xlfn.XLOOKUP($A50,'2017-2018'!$B$4:$B$23,'2017-2018'!AD$4:AD$23)</f>
        <v>744</v>
      </c>
      <c r="AD50">
        <f>_xlfn.XLOOKUP($A50,'2017-2018'!$B$4:$B$23,'2017-2018'!AE$4:AE$23)</f>
        <v>203</v>
      </c>
      <c r="AE50">
        <f>_xlfn.XLOOKUP($A50,'2017-2018'!$B$4:$B$23,'2017-2018'!AF$4:AF$23)</f>
        <v>83.85</v>
      </c>
      <c r="AF50">
        <f>_xlfn.XLOOKUP($A50,'2017-2018'!$B$4:$B$23,'2017-2018'!AG$4:AG$23)</f>
        <v>50.1</v>
      </c>
      <c r="AG50">
        <f>_xlfn.XLOOKUP($A50,'2017-2018'!$B$4:$B$23,'2017-2018'!AH$4:AH$23)</f>
        <v>14</v>
      </c>
      <c r="AH50">
        <f>_xlfn.XLOOKUP($A50,'2017-2018'!$B$4:$B$23,'2017-2018'!AI$4:AI$23)</f>
        <v>13</v>
      </c>
      <c r="AI50">
        <f>_xlfn.XLOOKUP($A50,'2017-2018'!$B$4:$B$23,'2017-2018'!AJ$4:AJ$23)</f>
        <v>304.25</v>
      </c>
      <c r="AJ50">
        <f>_xlfn.XLOOKUP($A50,'2017-2018'!$B$4:$B$23,'2017-2018'!AK$4:AK$23)</f>
        <v>34</v>
      </c>
      <c r="AK50">
        <f>_xlfn.XLOOKUP($A50,'2017-2018'!$B$4:$B$23,'2017-2018'!AL$4:AL$23)</f>
        <v>8.9485294117647065</v>
      </c>
      <c r="AL50">
        <f>_xlfn.XLOOKUP($A50,'2017-2018'!$B$4:$B$23,'2017-2018'!AM$4:AM$23)</f>
        <v>31583</v>
      </c>
      <c r="AM50">
        <f>_xlfn.XLOOKUP($A50,'2017-2018'!$B$4:$B$23,'2017-2018'!AN$4:AN$23)</f>
        <v>0.09</v>
      </c>
      <c r="AN50">
        <f>_xlfn.XLOOKUP($A50,'2017-2018'!$B$4:$B$23,'2017-2018'!AO$4:AO$23)</f>
        <v>0</v>
      </c>
      <c r="AO50">
        <f>_xlfn.XLOOKUP($A50,'2017-2018'!$B$4:$B$23,'2017-2018'!AP$4:AP$23)</f>
        <v>0</v>
      </c>
      <c r="AP50">
        <f>_xlfn.XLOOKUP($A50,'2017-2018'!$B$4:$B$23,'2017-2018'!AQ$4:AQ$23)</f>
        <v>0</v>
      </c>
      <c r="AQ50">
        <f>_xlfn.XLOOKUP($A50,'2017-2018'!$B$4:$B$23,'2017-2018'!AR$4:AR$23)</f>
        <v>0</v>
      </c>
      <c r="AR50">
        <f>_xlfn.XLOOKUP($A50,'2017-2018'!$B$4:$B$23,'2017-2018'!AS$4:AS$23)</f>
        <v>0</v>
      </c>
      <c r="AS50" t="str">
        <f>_xlfn.XLOOKUP($A50,'2017-2018'!$B$4:$B$23,'2017-2018'!AT$4:AT$23)</f>
        <v>17/18</v>
      </c>
    </row>
    <row r="51" spans="1:45" x14ac:dyDescent="0.25">
      <c r="A51">
        <v>10</v>
      </c>
      <c r="B51" t="str">
        <f>_xlfn.XLOOKUP($A51,'2017-2018'!$B$4:$B$23,'2017-2018'!C$4:C$23)</f>
        <v>Newcastle United</v>
      </c>
      <c r="C51">
        <f>_xlfn.XLOOKUP($A51,'2017-2018'!$B$4:$B$23,'2017-2018'!D$4:D$23)</f>
        <v>39</v>
      </c>
      <c r="D51">
        <f>_xlfn.XLOOKUP($A51,'2017-2018'!$B$4:$B$23,'2017-2018'!E$4:E$23)</f>
        <v>47</v>
      </c>
      <c r="E51">
        <f>_xlfn.XLOOKUP($A51,'2017-2018'!$B$4:$B$23,'2017-2018'!F$4:F$23)</f>
        <v>-8</v>
      </c>
      <c r="F51">
        <f>_xlfn.XLOOKUP($A51,'2017-2018'!$B$4:$B$23,'2017-2018'!G$4:G$23)</f>
        <v>9</v>
      </c>
      <c r="G51">
        <f>_xlfn.XLOOKUP($A51,'2017-2018'!$B$4:$B$23,'2017-2018'!H$4:H$23)</f>
        <v>52</v>
      </c>
      <c r="H51">
        <f>_xlfn.XLOOKUP($A51,'2017-2018'!$B$4:$B$23,'2017-2018'!I$4:I$23)</f>
        <v>2</v>
      </c>
      <c r="I51">
        <f>_xlfn.XLOOKUP($A51,'2017-2018'!$B$4:$B$23,'2017-2018'!J$4:J$23)</f>
        <v>41.6</v>
      </c>
      <c r="J51">
        <f>_xlfn.XLOOKUP($A51,'2017-2018'!$B$4:$B$23,'2017-2018'!K$4:K$23)</f>
        <v>52.4</v>
      </c>
      <c r="K51">
        <f>_xlfn.XLOOKUP($A51,'2017-2018'!$B$4:$B$23,'2017-2018'!L$4:L$23)</f>
        <v>-2.6000000000000014</v>
      </c>
      <c r="L51">
        <f>_xlfn.XLOOKUP($A51,'2017-2018'!$B$4:$B$23,'2017-2018'!M$4:M$23)</f>
        <v>450</v>
      </c>
      <c r="M51">
        <f>_xlfn.XLOOKUP($A51,'2017-2018'!$B$4:$B$23,'2017-2018'!N$4:N$23)</f>
        <v>450</v>
      </c>
      <c r="N51">
        <f>_xlfn.XLOOKUP($A51,'2017-2018'!$B$4:$B$23,'2017-2018'!O$4:O$23)</f>
        <v>0</v>
      </c>
      <c r="O51">
        <f>_xlfn.XLOOKUP($A51,'2017-2018'!$B$4:$B$23,'2017-2018'!P$4:P$23)</f>
        <v>7</v>
      </c>
      <c r="P51">
        <f>_xlfn.XLOOKUP($A51,'2017-2018'!$B$4:$B$23,'2017-2018'!Q$4:Q$23)</f>
        <v>34</v>
      </c>
      <c r="Q51">
        <f>_xlfn.XLOOKUP($A51,'2017-2018'!$B$4:$B$23,'2017-2018'!R$4:R$23)</f>
        <v>5</v>
      </c>
      <c r="R51">
        <f>_xlfn.XLOOKUP($A51,'2017-2018'!$B$4:$B$23,'2017-2018'!S$4:S$23)</f>
        <v>5</v>
      </c>
      <c r="S51">
        <f>_xlfn.XLOOKUP($A51,'2017-2018'!$B$4:$B$23,'2017-2018'!T$4:T$23)</f>
        <v>63</v>
      </c>
      <c r="T51">
        <f>_xlfn.XLOOKUP($A51,'2017-2018'!$B$4:$B$23,'2017-2018'!U$4:U$23)</f>
        <v>3</v>
      </c>
      <c r="U51">
        <f>_xlfn.XLOOKUP($A51,'2017-2018'!$B$4:$B$23,'2017-2018'!V$4:V$23)</f>
        <v>6</v>
      </c>
      <c r="V51">
        <f>_xlfn.XLOOKUP($A51,'2017-2018'!$B$4:$B$23,'2017-2018'!W$4:W$23)</f>
        <v>102</v>
      </c>
      <c r="W51">
        <f>_xlfn.XLOOKUP($A51,'2017-2018'!$B$4:$B$23,'2017-2018'!X$4:X$23)</f>
        <v>1219</v>
      </c>
      <c r="X51">
        <f>_xlfn.XLOOKUP($A51,'2017-2018'!$B$4:$B$23,'2017-2018'!Y$4:Y$23)</f>
        <v>221</v>
      </c>
      <c r="Y51">
        <f>_xlfn.XLOOKUP($A51,'2017-2018'!$B$4:$B$23,'2017-2018'!Z$4:Z$23)</f>
        <v>409</v>
      </c>
      <c r="Z51">
        <f>_xlfn.XLOOKUP($A51,'2017-2018'!$B$4:$B$23,'2017-2018'!AA$4:AA$23)</f>
        <v>11071</v>
      </c>
      <c r="AA51">
        <f>_xlfn.XLOOKUP($A51,'2017-2018'!$B$4:$B$23,'2017-2018'!AB$4:AB$23)</f>
        <v>67</v>
      </c>
      <c r="AB51">
        <f>_xlfn.XLOOKUP($A51,'2017-2018'!$B$4:$B$23,'2017-2018'!AC$4:AC$23)</f>
        <v>2018</v>
      </c>
      <c r="AC51">
        <f>_xlfn.XLOOKUP($A51,'2017-2018'!$B$4:$B$23,'2017-2018'!AD$4:AD$23)</f>
        <v>616</v>
      </c>
      <c r="AD51">
        <f>_xlfn.XLOOKUP($A51,'2017-2018'!$B$4:$B$23,'2017-2018'!AE$4:AE$23)</f>
        <v>167</v>
      </c>
      <c r="AE51">
        <f>_xlfn.XLOOKUP($A51,'2017-2018'!$B$4:$B$23,'2017-2018'!AF$4:AF$23)</f>
        <v>46.5</v>
      </c>
      <c r="AF51">
        <f>_xlfn.XLOOKUP($A51,'2017-2018'!$B$4:$B$23,'2017-2018'!AG$4:AG$23)</f>
        <v>21.22</v>
      </c>
      <c r="AG51">
        <f>_xlfn.XLOOKUP($A51,'2017-2018'!$B$4:$B$23,'2017-2018'!AH$4:AH$23)</f>
        <v>27</v>
      </c>
      <c r="AH51">
        <f>_xlfn.XLOOKUP($A51,'2017-2018'!$B$4:$B$23,'2017-2018'!AI$4:AI$23)</f>
        <v>29</v>
      </c>
      <c r="AI51">
        <f>_xlfn.XLOOKUP($A51,'2017-2018'!$B$4:$B$23,'2017-2018'!AJ$4:AJ$23)</f>
        <v>208.28</v>
      </c>
      <c r="AJ51">
        <f>_xlfn.XLOOKUP($A51,'2017-2018'!$B$4:$B$23,'2017-2018'!AK$4:AK$23)</f>
        <v>37</v>
      </c>
      <c r="AK51">
        <f>_xlfn.XLOOKUP($A51,'2017-2018'!$B$4:$B$23,'2017-2018'!AL$4:AL$23)</f>
        <v>5.629189189189189</v>
      </c>
      <c r="AL51">
        <f>_xlfn.XLOOKUP($A51,'2017-2018'!$B$4:$B$23,'2017-2018'!AM$4:AM$23)</f>
        <v>51992</v>
      </c>
      <c r="AM51">
        <f>_xlfn.XLOOKUP($A51,'2017-2018'!$B$4:$B$23,'2017-2018'!AN$4:AN$23)</f>
        <v>0.18</v>
      </c>
      <c r="AN51">
        <f>_xlfn.XLOOKUP($A51,'2017-2018'!$B$4:$B$23,'2017-2018'!AO$4:AO$23)</f>
        <v>0</v>
      </c>
      <c r="AO51">
        <f>_xlfn.XLOOKUP($A51,'2017-2018'!$B$4:$B$23,'2017-2018'!AP$4:AP$23)</f>
        <v>1</v>
      </c>
      <c r="AP51">
        <f>_xlfn.XLOOKUP($A51,'2017-2018'!$B$4:$B$23,'2017-2018'!AQ$4:AQ$23)</f>
        <v>0</v>
      </c>
      <c r="AQ51">
        <f>_xlfn.XLOOKUP($A51,'2017-2018'!$B$4:$B$23,'2017-2018'!AR$4:AR$23)</f>
        <v>0</v>
      </c>
      <c r="AR51">
        <f>_xlfn.XLOOKUP($A51,'2017-2018'!$B$4:$B$23,'2017-2018'!AS$4:AS$23)</f>
        <v>0</v>
      </c>
      <c r="AS51" t="str">
        <f>_xlfn.XLOOKUP($A51,'2017-2018'!$B$4:$B$23,'2017-2018'!AT$4:AT$23)</f>
        <v>17/18</v>
      </c>
    </row>
    <row r="52" spans="1:45" x14ac:dyDescent="0.25">
      <c r="A52">
        <v>11</v>
      </c>
      <c r="B52" t="str">
        <f>_xlfn.XLOOKUP($A52,'2017-2018'!$B$4:$B$23,'2017-2018'!C$4:C$23)</f>
        <v>Crystal Palace</v>
      </c>
      <c r="C52">
        <f>_xlfn.XLOOKUP($A52,'2017-2018'!$B$4:$B$23,'2017-2018'!D$4:D$23)</f>
        <v>45</v>
      </c>
      <c r="D52">
        <f>_xlfn.XLOOKUP($A52,'2017-2018'!$B$4:$B$23,'2017-2018'!E$4:E$23)</f>
        <v>55</v>
      </c>
      <c r="E52">
        <f>_xlfn.XLOOKUP($A52,'2017-2018'!$B$4:$B$23,'2017-2018'!F$4:F$23)</f>
        <v>-10</v>
      </c>
      <c r="F52">
        <f>_xlfn.XLOOKUP($A52,'2017-2018'!$B$4:$B$23,'2017-2018'!G$4:G$23)</f>
        <v>9</v>
      </c>
      <c r="G52">
        <f>_xlfn.XLOOKUP($A52,'2017-2018'!$B$4:$B$23,'2017-2018'!H$4:H$23)</f>
        <v>72</v>
      </c>
      <c r="H52">
        <f>_xlfn.XLOOKUP($A52,'2017-2018'!$B$4:$B$23,'2017-2018'!I$4:I$23)</f>
        <v>0</v>
      </c>
      <c r="I52">
        <f>_xlfn.XLOOKUP($A52,'2017-2018'!$B$4:$B$23,'2017-2018'!J$4:J$23)</f>
        <v>53.5</v>
      </c>
      <c r="J52">
        <f>_xlfn.XLOOKUP($A52,'2017-2018'!$B$4:$B$23,'2017-2018'!K$4:K$23)</f>
        <v>48.2</v>
      </c>
      <c r="K52">
        <f>_xlfn.XLOOKUP($A52,'2017-2018'!$B$4:$B$23,'2017-2018'!L$4:L$23)</f>
        <v>-8.5</v>
      </c>
      <c r="L52">
        <f>_xlfn.XLOOKUP($A52,'2017-2018'!$B$4:$B$23,'2017-2018'!M$4:M$23)</f>
        <v>466</v>
      </c>
      <c r="M52">
        <f>_xlfn.XLOOKUP($A52,'2017-2018'!$B$4:$B$23,'2017-2018'!N$4:N$23)</f>
        <v>466</v>
      </c>
      <c r="N52">
        <f>_xlfn.XLOOKUP($A52,'2017-2018'!$B$4:$B$23,'2017-2018'!O$4:O$23)</f>
        <v>8</v>
      </c>
      <c r="O52">
        <f>_xlfn.XLOOKUP($A52,'2017-2018'!$B$4:$B$23,'2017-2018'!P$4:P$23)</f>
        <v>4</v>
      </c>
      <c r="P52">
        <f>_xlfn.XLOOKUP($A52,'2017-2018'!$B$4:$B$23,'2017-2018'!Q$4:Q$23)</f>
        <v>39</v>
      </c>
      <c r="Q52">
        <f>_xlfn.XLOOKUP($A52,'2017-2018'!$B$4:$B$23,'2017-2018'!R$4:R$23)</f>
        <v>6</v>
      </c>
      <c r="R52">
        <f>_xlfn.XLOOKUP($A52,'2017-2018'!$B$4:$B$23,'2017-2018'!S$4:S$23)</f>
        <v>3</v>
      </c>
      <c r="S52">
        <f>_xlfn.XLOOKUP($A52,'2017-2018'!$B$4:$B$23,'2017-2018'!T$4:T$23)</f>
        <v>56</v>
      </c>
      <c r="T52">
        <f>_xlfn.XLOOKUP($A52,'2017-2018'!$B$4:$B$23,'2017-2018'!U$4:U$23)</f>
        <v>2</v>
      </c>
      <c r="U52">
        <f>_xlfn.XLOOKUP($A52,'2017-2018'!$B$4:$B$23,'2017-2018'!V$4:V$23)</f>
        <v>2</v>
      </c>
      <c r="V52">
        <f>_xlfn.XLOOKUP($A52,'2017-2018'!$B$4:$B$23,'2017-2018'!W$4:W$23)</f>
        <v>117</v>
      </c>
      <c r="W52">
        <f>_xlfn.XLOOKUP($A52,'2017-2018'!$B$4:$B$23,'2017-2018'!X$4:X$23)</f>
        <v>1110</v>
      </c>
      <c r="X52">
        <f>_xlfn.XLOOKUP($A52,'2017-2018'!$B$4:$B$23,'2017-2018'!Y$4:Y$23)</f>
        <v>260</v>
      </c>
      <c r="Y52">
        <f>_xlfn.XLOOKUP($A52,'2017-2018'!$B$4:$B$23,'2017-2018'!Z$4:Z$23)</f>
        <v>425</v>
      </c>
      <c r="Z52">
        <f>_xlfn.XLOOKUP($A52,'2017-2018'!$B$4:$B$23,'2017-2018'!AA$4:AA$23)</f>
        <v>11809</v>
      </c>
      <c r="AA52">
        <f>_xlfn.XLOOKUP($A52,'2017-2018'!$B$4:$B$23,'2017-2018'!AB$4:AB$23)</f>
        <v>30</v>
      </c>
      <c r="AB52">
        <f>_xlfn.XLOOKUP($A52,'2017-2018'!$B$4:$B$23,'2017-2018'!AC$4:AC$23)</f>
        <v>2091</v>
      </c>
      <c r="AC52">
        <f>_xlfn.XLOOKUP($A52,'2017-2018'!$B$4:$B$23,'2017-2018'!AD$4:AD$23)</f>
        <v>703</v>
      </c>
      <c r="AD52">
        <f>_xlfn.XLOOKUP($A52,'2017-2018'!$B$4:$B$23,'2017-2018'!AE$4:AE$23)</f>
        <v>210</v>
      </c>
      <c r="AE52">
        <f>_xlfn.XLOOKUP($A52,'2017-2018'!$B$4:$B$23,'2017-2018'!AF$4:AF$23)</f>
        <v>48.95</v>
      </c>
      <c r="AF52">
        <f>_xlfn.XLOOKUP($A52,'2017-2018'!$B$4:$B$23,'2017-2018'!AG$4:AG$23)</f>
        <v>3</v>
      </c>
      <c r="AG52">
        <f>_xlfn.XLOOKUP($A52,'2017-2018'!$B$4:$B$23,'2017-2018'!AH$4:AH$23)</f>
        <v>15</v>
      </c>
      <c r="AH52">
        <f>_xlfn.XLOOKUP($A52,'2017-2018'!$B$4:$B$23,'2017-2018'!AI$4:AI$23)</f>
        <v>18</v>
      </c>
      <c r="AI52">
        <f>_xlfn.XLOOKUP($A52,'2017-2018'!$B$4:$B$23,'2017-2018'!AJ$4:AJ$23)</f>
        <v>220.73</v>
      </c>
      <c r="AJ52">
        <f>_xlfn.XLOOKUP($A52,'2017-2018'!$B$4:$B$23,'2017-2018'!AK$4:AK$23)</f>
        <v>41</v>
      </c>
      <c r="AK52">
        <f>_xlfn.XLOOKUP($A52,'2017-2018'!$B$4:$B$23,'2017-2018'!AL$4:AL$23)</f>
        <v>5.383658536585366</v>
      </c>
      <c r="AL52">
        <f>_xlfn.XLOOKUP($A52,'2017-2018'!$B$4:$B$23,'2017-2018'!AM$4:AM$23)</f>
        <v>25063</v>
      </c>
      <c r="AM52">
        <f>_xlfn.XLOOKUP($A52,'2017-2018'!$B$4:$B$23,'2017-2018'!AN$4:AN$23)</f>
        <v>0.16</v>
      </c>
      <c r="AN52">
        <f>_xlfn.XLOOKUP($A52,'2017-2018'!$B$4:$B$23,'2017-2018'!AO$4:AO$23)</f>
        <v>0</v>
      </c>
      <c r="AO52">
        <f>_xlfn.XLOOKUP($A52,'2017-2018'!$B$4:$B$23,'2017-2018'!AP$4:AP$23)</f>
        <v>0</v>
      </c>
      <c r="AP52">
        <f>_xlfn.XLOOKUP($A52,'2017-2018'!$B$4:$B$23,'2017-2018'!AQ$4:AQ$23)</f>
        <v>0</v>
      </c>
      <c r="AQ52">
        <f>_xlfn.XLOOKUP($A52,'2017-2018'!$B$4:$B$23,'2017-2018'!AR$4:AR$23)</f>
        <v>0</v>
      </c>
      <c r="AR52">
        <f>_xlfn.XLOOKUP($A52,'2017-2018'!$B$4:$B$23,'2017-2018'!AS$4:AS$23)</f>
        <v>0</v>
      </c>
      <c r="AS52" t="str">
        <f>_xlfn.XLOOKUP($A52,'2017-2018'!$B$4:$B$23,'2017-2018'!AT$4:AT$23)</f>
        <v>17/18</v>
      </c>
    </row>
    <row r="53" spans="1:45" x14ac:dyDescent="0.25">
      <c r="A53">
        <v>12</v>
      </c>
      <c r="B53" t="str">
        <f>_xlfn.XLOOKUP($A53,'2017-2018'!$B$4:$B$23,'2017-2018'!C$4:C$23)</f>
        <v>Bournemouth</v>
      </c>
      <c r="C53">
        <f>_xlfn.XLOOKUP($A53,'2017-2018'!$B$4:$B$23,'2017-2018'!D$4:D$23)</f>
        <v>45</v>
      </c>
      <c r="D53">
        <f>_xlfn.XLOOKUP($A53,'2017-2018'!$B$4:$B$23,'2017-2018'!E$4:E$23)</f>
        <v>61</v>
      </c>
      <c r="E53">
        <f>_xlfn.XLOOKUP($A53,'2017-2018'!$B$4:$B$23,'2017-2018'!F$4:F$23)</f>
        <v>-16</v>
      </c>
      <c r="F53">
        <f>_xlfn.XLOOKUP($A53,'2017-2018'!$B$4:$B$23,'2017-2018'!G$4:G$23)</f>
        <v>6</v>
      </c>
      <c r="G53">
        <f>_xlfn.XLOOKUP($A53,'2017-2018'!$B$4:$B$23,'2017-2018'!H$4:H$23)</f>
        <v>55</v>
      </c>
      <c r="H53">
        <f>_xlfn.XLOOKUP($A53,'2017-2018'!$B$4:$B$23,'2017-2018'!I$4:I$23)</f>
        <v>1</v>
      </c>
      <c r="I53">
        <f>_xlfn.XLOOKUP($A53,'2017-2018'!$B$4:$B$23,'2017-2018'!J$4:J$23)</f>
        <v>38.799999999999997</v>
      </c>
      <c r="J53">
        <f>_xlfn.XLOOKUP($A53,'2017-2018'!$B$4:$B$23,'2017-2018'!K$4:K$23)</f>
        <v>59.2</v>
      </c>
      <c r="K53">
        <f>_xlfn.XLOOKUP($A53,'2017-2018'!$B$4:$B$23,'2017-2018'!L$4:L$23)</f>
        <v>6.2000000000000028</v>
      </c>
      <c r="L53">
        <f>_xlfn.XLOOKUP($A53,'2017-2018'!$B$4:$B$23,'2017-2018'!M$4:M$23)</f>
        <v>462</v>
      </c>
      <c r="M53">
        <f>_xlfn.XLOOKUP($A53,'2017-2018'!$B$4:$B$23,'2017-2018'!N$4:N$23)</f>
        <v>462</v>
      </c>
      <c r="N53">
        <f>_xlfn.XLOOKUP($A53,'2017-2018'!$B$4:$B$23,'2017-2018'!O$4:O$23)</f>
        <v>3</v>
      </c>
      <c r="O53">
        <f>_xlfn.XLOOKUP($A53,'2017-2018'!$B$4:$B$23,'2017-2018'!P$4:P$23)</f>
        <v>4</v>
      </c>
      <c r="P53">
        <f>_xlfn.XLOOKUP($A53,'2017-2018'!$B$4:$B$23,'2017-2018'!Q$4:Q$23)</f>
        <v>38</v>
      </c>
      <c r="Q53">
        <f>_xlfn.XLOOKUP($A53,'2017-2018'!$B$4:$B$23,'2017-2018'!R$4:R$23)</f>
        <v>7</v>
      </c>
      <c r="R53">
        <f>_xlfn.XLOOKUP($A53,'2017-2018'!$B$4:$B$23,'2017-2018'!S$4:S$23)</f>
        <v>0</v>
      </c>
      <c r="S53">
        <f>_xlfn.XLOOKUP($A53,'2017-2018'!$B$4:$B$23,'2017-2018'!T$4:T$23)</f>
        <v>52</v>
      </c>
      <c r="T53">
        <f>_xlfn.XLOOKUP($A53,'2017-2018'!$B$4:$B$23,'2017-2018'!U$4:U$23)</f>
        <v>1</v>
      </c>
      <c r="U53">
        <f>_xlfn.XLOOKUP($A53,'2017-2018'!$B$4:$B$23,'2017-2018'!V$4:V$23)</f>
        <v>3</v>
      </c>
      <c r="V53">
        <f>_xlfn.XLOOKUP($A53,'2017-2018'!$B$4:$B$23,'2017-2018'!W$4:W$23)</f>
        <v>109</v>
      </c>
      <c r="W53">
        <f>_xlfn.XLOOKUP($A53,'2017-2018'!$B$4:$B$23,'2017-2018'!X$4:X$23)</f>
        <v>1129</v>
      </c>
      <c r="X53">
        <f>_xlfn.XLOOKUP($A53,'2017-2018'!$B$4:$B$23,'2017-2018'!Y$4:Y$23)</f>
        <v>198</v>
      </c>
      <c r="Y53">
        <f>_xlfn.XLOOKUP($A53,'2017-2018'!$B$4:$B$23,'2017-2018'!Z$4:Z$23)</f>
        <v>339</v>
      </c>
      <c r="Z53">
        <f>_xlfn.XLOOKUP($A53,'2017-2018'!$B$4:$B$23,'2017-2018'!AA$4:AA$23)</f>
        <v>13450</v>
      </c>
      <c r="AA53">
        <f>_xlfn.XLOOKUP($A53,'2017-2018'!$B$4:$B$23,'2017-2018'!AB$4:AB$23)</f>
        <v>37</v>
      </c>
      <c r="AB53">
        <f>_xlfn.XLOOKUP($A53,'2017-2018'!$B$4:$B$23,'2017-2018'!AC$4:AC$23)</f>
        <v>2257</v>
      </c>
      <c r="AC53">
        <f>_xlfn.XLOOKUP($A53,'2017-2018'!$B$4:$B$23,'2017-2018'!AD$4:AD$23)</f>
        <v>707</v>
      </c>
      <c r="AD53">
        <f>_xlfn.XLOOKUP($A53,'2017-2018'!$B$4:$B$23,'2017-2018'!AE$4:AE$23)</f>
        <v>218</v>
      </c>
      <c r="AE53">
        <f>_xlfn.XLOOKUP($A53,'2017-2018'!$B$4:$B$23,'2017-2018'!AF$4:AF$23)</f>
        <v>34.299999999999997</v>
      </c>
      <c r="AF53">
        <f>_xlfn.XLOOKUP($A53,'2017-2018'!$B$4:$B$23,'2017-2018'!AG$4:AG$23)</f>
        <v>0</v>
      </c>
      <c r="AG53">
        <f>_xlfn.XLOOKUP($A53,'2017-2018'!$B$4:$B$23,'2017-2018'!AH$4:AH$23)</f>
        <v>15</v>
      </c>
      <c r="AH53">
        <f>_xlfn.XLOOKUP($A53,'2017-2018'!$B$4:$B$23,'2017-2018'!AI$4:AI$23)</f>
        <v>14</v>
      </c>
      <c r="AI53">
        <f>_xlfn.XLOOKUP($A53,'2017-2018'!$B$4:$B$23,'2017-2018'!AJ$4:AJ$23)</f>
        <v>144.5</v>
      </c>
      <c r="AJ53">
        <f>_xlfn.XLOOKUP($A53,'2017-2018'!$B$4:$B$23,'2017-2018'!AK$4:AK$23)</f>
        <v>25</v>
      </c>
      <c r="AK53">
        <f>_xlfn.XLOOKUP($A53,'2017-2018'!$B$4:$B$23,'2017-2018'!AL$4:AL$23)</f>
        <v>5.78</v>
      </c>
      <c r="AL53">
        <f>_xlfn.XLOOKUP($A53,'2017-2018'!$B$4:$B$23,'2017-2018'!AM$4:AM$23)</f>
        <v>10641</v>
      </c>
      <c r="AM53">
        <f>_xlfn.XLOOKUP($A53,'2017-2018'!$B$4:$B$23,'2017-2018'!AN$4:AN$23)</f>
        <v>0.09</v>
      </c>
      <c r="AN53">
        <f>_xlfn.XLOOKUP($A53,'2017-2018'!$B$4:$B$23,'2017-2018'!AO$4:AO$23)</f>
        <v>0</v>
      </c>
      <c r="AO53">
        <f>_xlfn.XLOOKUP($A53,'2017-2018'!$B$4:$B$23,'2017-2018'!AP$4:AP$23)</f>
        <v>0</v>
      </c>
      <c r="AP53">
        <f>_xlfn.XLOOKUP($A53,'2017-2018'!$B$4:$B$23,'2017-2018'!AQ$4:AQ$23)</f>
        <v>0</v>
      </c>
      <c r="AQ53">
        <f>_xlfn.XLOOKUP($A53,'2017-2018'!$B$4:$B$23,'2017-2018'!AR$4:AR$23)</f>
        <v>0</v>
      </c>
      <c r="AR53">
        <f>_xlfn.XLOOKUP($A53,'2017-2018'!$B$4:$B$23,'2017-2018'!AS$4:AS$23)</f>
        <v>0</v>
      </c>
      <c r="AS53" t="str">
        <f>_xlfn.XLOOKUP($A53,'2017-2018'!$B$4:$B$23,'2017-2018'!AT$4:AT$23)</f>
        <v>17/18</v>
      </c>
    </row>
    <row r="54" spans="1:45" x14ac:dyDescent="0.25">
      <c r="A54">
        <v>13</v>
      </c>
      <c r="B54" t="str">
        <f>_xlfn.XLOOKUP($A54,'2017-2018'!$B$4:$B$23,'2017-2018'!C$4:C$23)</f>
        <v>West Ham United</v>
      </c>
      <c r="C54">
        <f>_xlfn.XLOOKUP($A54,'2017-2018'!$B$4:$B$23,'2017-2018'!D$4:D$23)</f>
        <v>48</v>
      </c>
      <c r="D54">
        <f>_xlfn.XLOOKUP($A54,'2017-2018'!$B$4:$B$23,'2017-2018'!E$4:E$23)</f>
        <v>68</v>
      </c>
      <c r="E54">
        <f>_xlfn.XLOOKUP($A54,'2017-2018'!$B$4:$B$23,'2017-2018'!F$4:F$23)</f>
        <v>-20</v>
      </c>
      <c r="F54">
        <f>_xlfn.XLOOKUP($A54,'2017-2018'!$B$4:$B$23,'2017-2018'!G$4:G$23)</f>
        <v>10</v>
      </c>
      <c r="G54">
        <f>_xlfn.XLOOKUP($A54,'2017-2018'!$B$4:$B$23,'2017-2018'!H$4:H$23)</f>
        <v>73</v>
      </c>
      <c r="H54">
        <f>_xlfn.XLOOKUP($A54,'2017-2018'!$B$4:$B$23,'2017-2018'!I$4:I$23)</f>
        <v>2</v>
      </c>
      <c r="I54">
        <f>_xlfn.XLOOKUP($A54,'2017-2018'!$B$4:$B$23,'2017-2018'!J$4:J$23)</f>
        <v>36.700000000000003</v>
      </c>
      <c r="J54">
        <f>_xlfn.XLOOKUP($A54,'2017-2018'!$B$4:$B$23,'2017-2018'!K$4:K$23)</f>
        <v>55.1</v>
      </c>
      <c r="K54">
        <f>_xlfn.XLOOKUP($A54,'2017-2018'!$B$4:$B$23,'2017-2018'!L$4:L$23)</f>
        <v>11.299999999999997</v>
      </c>
      <c r="L54">
        <f>_xlfn.XLOOKUP($A54,'2017-2018'!$B$4:$B$23,'2017-2018'!M$4:M$23)</f>
        <v>368</v>
      </c>
      <c r="M54">
        <f>_xlfn.XLOOKUP($A54,'2017-2018'!$B$4:$B$23,'2017-2018'!N$4:N$23)</f>
        <v>368</v>
      </c>
      <c r="N54">
        <f>_xlfn.XLOOKUP($A54,'2017-2018'!$B$4:$B$23,'2017-2018'!O$4:O$23)</f>
        <v>2</v>
      </c>
      <c r="O54">
        <f>_xlfn.XLOOKUP($A54,'2017-2018'!$B$4:$B$23,'2017-2018'!P$4:P$23)</f>
        <v>6</v>
      </c>
      <c r="P54">
        <f>_xlfn.XLOOKUP($A54,'2017-2018'!$B$4:$B$23,'2017-2018'!Q$4:Q$23)</f>
        <v>39</v>
      </c>
      <c r="Q54">
        <f>_xlfn.XLOOKUP($A54,'2017-2018'!$B$4:$B$23,'2017-2018'!R$4:R$23)</f>
        <v>10</v>
      </c>
      <c r="R54">
        <f>_xlfn.XLOOKUP($A54,'2017-2018'!$B$4:$B$23,'2017-2018'!S$4:S$23)</f>
        <v>4</v>
      </c>
      <c r="S54">
        <f>_xlfn.XLOOKUP($A54,'2017-2018'!$B$4:$B$23,'2017-2018'!T$4:T$23)</f>
        <v>97</v>
      </c>
      <c r="T54">
        <f>_xlfn.XLOOKUP($A54,'2017-2018'!$B$4:$B$23,'2017-2018'!U$4:U$23)</f>
        <v>1</v>
      </c>
      <c r="U54">
        <f>_xlfn.XLOOKUP($A54,'2017-2018'!$B$4:$B$23,'2017-2018'!V$4:V$23)</f>
        <v>6</v>
      </c>
      <c r="V54">
        <f>_xlfn.XLOOKUP($A54,'2017-2018'!$B$4:$B$23,'2017-2018'!W$4:W$23)</f>
        <v>119</v>
      </c>
      <c r="W54">
        <f>_xlfn.XLOOKUP($A54,'2017-2018'!$B$4:$B$23,'2017-2018'!X$4:X$23)</f>
        <v>1085</v>
      </c>
      <c r="X54">
        <f>_xlfn.XLOOKUP($A54,'2017-2018'!$B$4:$B$23,'2017-2018'!Y$4:Y$23)</f>
        <v>235</v>
      </c>
      <c r="Y54">
        <f>_xlfn.XLOOKUP($A54,'2017-2018'!$B$4:$B$23,'2017-2018'!Z$4:Z$23)</f>
        <v>379</v>
      </c>
      <c r="Z54">
        <f>_xlfn.XLOOKUP($A54,'2017-2018'!$B$4:$B$23,'2017-2018'!AA$4:AA$23)</f>
        <v>11779</v>
      </c>
      <c r="AA54">
        <f>_xlfn.XLOOKUP($A54,'2017-2018'!$B$4:$B$23,'2017-2018'!AB$4:AB$23)</f>
        <v>51</v>
      </c>
      <c r="AB54">
        <f>_xlfn.XLOOKUP($A54,'2017-2018'!$B$4:$B$23,'2017-2018'!AC$4:AC$23)</f>
        <v>2177</v>
      </c>
      <c r="AC54">
        <f>_xlfn.XLOOKUP($A54,'2017-2018'!$B$4:$B$23,'2017-2018'!AD$4:AD$23)</f>
        <v>733</v>
      </c>
      <c r="AD54">
        <f>_xlfn.XLOOKUP($A54,'2017-2018'!$B$4:$B$23,'2017-2018'!AE$4:AE$23)</f>
        <v>161</v>
      </c>
      <c r="AE54">
        <f>_xlfn.XLOOKUP($A54,'2017-2018'!$B$4:$B$23,'2017-2018'!AF$4:AF$23)</f>
        <v>56.8</v>
      </c>
      <c r="AF54">
        <f>_xlfn.XLOOKUP($A54,'2017-2018'!$B$4:$B$23,'2017-2018'!AG$4:AG$23)</f>
        <v>69.02</v>
      </c>
      <c r="AG54">
        <f>_xlfn.XLOOKUP($A54,'2017-2018'!$B$4:$B$23,'2017-2018'!AH$4:AH$23)</f>
        <v>15</v>
      </c>
      <c r="AH54">
        <f>_xlfn.XLOOKUP($A54,'2017-2018'!$B$4:$B$23,'2017-2018'!AI$4:AI$23)</f>
        <v>25</v>
      </c>
      <c r="AI54">
        <f>_xlfn.XLOOKUP($A54,'2017-2018'!$B$4:$B$23,'2017-2018'!AJ$4:AJ$23)</f>
        <v>260.60000000000002</v>
      </c>
      <c r="AJ54">
        <f>_xlfn.XLOOKUP($A54,'2017-2018'!$B$4:$B$23,'2017-2018'!AK$4:AK$23)</f>
        <v>41</v>
      </c>
      <c r="AK54">
        <f>_xlfn.XLOOKUP($A54,'2017-2018'!$B$4:$B$23,'2017-2018'!AL$4:AL$23)</f>
        <v>6.3560975609756101</v>
      </c>
      <c r="AL54">
        <f>_xlfn.XLOOKUP($A54,'2017-2018'!$B$4:$B$23,'2017-2018'!AM$4:AM$23)</f>
        <v>56885</v>
      </c>
      <c r="AM54">
        <f>_xlfn.XLOOKUP($A54,'2017-2018'!$B$4:$B$23,'2017-2018'!AN$4:AN$23)</f>
        <v>0.12</v>
      </c>
      <c r="AN54">
        <f>_xlfn.XLOOKUP($A54,'2017-2018'!$B$4:$B$23,'2017-2018'!AO$4:AO$23)</f>
        <v>0</v>
      </c>
      <c r="AO54">
        <f>_xlfn.XLOOKUP($A54,'2017-2018'!$B$4:$B$23,'2017-2018'!AP$4:AP$23)</f>
        <v>0</v>
      </c>
      <c r="AP54">
        <f>_xlfn.XLOOKUP($A54,'2017-2018'!$B$4:$B$23,'2017-2018'!AQ$4:AQ$23)</f>
        <v>0</v>
      </c>
      <c r="AQ54">
        <f>_xlfn.XLOOKUP($A54,'2017-2018'!$B$4:$B$23,'2017-2018'!AR$4:AR$23)</f>
        <v>0</v>
      </c>
      <c r="AR54">
        <f>_xlfn.XLOOKUP($A54,'2017-2018'!$B$4:$B$23,'2017-2018'!AS$4:AS$23)</f>
        <v>0</v>
      </c>
      <c r="AS54" t="str">
        <f>_xlfn.XLOOKUP($A54,'2017-2018'!$B$4:$B$23,'2017-2018'!AT$4:AT$23)</f>
        <v>17/18</v>
      </c>
    </row>
    <row r="55" spans="1:45" x14ac:dyDescent="0.25">
      <c r="A55">
        <v>14</v>
      </c>
      <c r="B55" t="str">
        <f>_xlfn.XLOOKUP($A55,'2017-2018'!$B$4:$B$23,'2017-2018'!C$4:C$23)</f>
        <v>Watford</v>
      </c>
      <c r="C55">
        <f>_xlfn.XLOOKUP($A55,'2017-2018'!$B$4:$B$23,'2017-2018'!D$4:D$23)</f>
        <v>44</v>
      </c>
      <c r="D55">
        <f>_xlfn.XLOOKUP($A55,'2017-2018'!$B$4:$B$23,'2017-2018'!E$4:E$23)</f>
        <v>64</v>
      </c>
      <c r="E55">
        <f>_xlfn.XLOOKUP($A55,'2017-2018'!$B$4:$B$23,'2017-2018'!F$4:F$23)</f>
        <v>-20</v>
      </c>
      <c r="F55">
        <f>_xlfn.XLOOKUP($A55,'2017-2018'!$B$4:$B$23,'2017-2018'!G$4:G$23)</f>
        <v>9</v>
      </c>
      <c r="G55">
        <f>_xlfn.XLOOKUP($A55,'2017-2018'!$B$4:$B$23,'2017-2018'!H$4:H$23)</f>
        <v>63</v>
      </c>
      <c r="H55">
        <f>_xlfn.XLOOKUP($A55,'2017-2018'!$B$4:$B$23,'2017-2018'!I$4:I$23)</f>
        <v>4</v>
      </c>
      <c r="I55">
        <f>_xlfn.XLOOKUP($A55,'2017-2018'!$B$4:$B$23,'2017-2018'!J$4:J$23)</f>
        <v>45</v>
      </c>
      <c r="J55">
        <f>_xlfn.XLOOKUP($A55,'2017-2018'!$B$4:$B$23,'2017-2018'!K$4:K$23)</f>
        <v>51.8</v>
      </c>
      <c r="K55">
        <f>_xlfn.XLOOKUP($A55,'2017-2018'!$B$4:$B$23,'2017-2018'!L$4:L$23)</f>
        <v>-1</v>
      </c>
      <c r="L55">
        <f>_xlfn.XLOOKUP($A55,'2017-2018'!$B$4:$B$23,'2017-2018'!M$4:M$23)</f>
        <v>434</v>
      </c>
      <c r="M55">
        <f>_xlfn.XLOOKUP($A55,'2017-2018'!$B$4:$B$23,'2017-2018'!N$4:N$23)</f>
        <v>434</v>
      </c>
      <c r="N55">
        <f>_xlfn.XLOOKUP($A55,'2017-2018'!$B$4:$B$23,'2017-2018'!O$4:O$23)</f>
        <v>3</v>
      </c>
      <c r="O55">
        <f>_xlfn.XLOOKUP($A55,'2017-2018'!$B$4:$B$23,'2017-2018'!P$4:P$23)</f>
        <v>9</v>
      </c>
      <c r="P55">
        <f>_xlfn.XLOOKUP($A55,'2017-2018'!$B$4:$B$23,'2017-2018'!Q$4:Q$23)</f>
        <v>38</v>
      </c>
      <c r="Q55">
        <f>_xlfn.XLOOKUP($A55,'2017-2018'!$B$4:$B$23,'2017-2018'!R$4:R$23)</f>
        <v>6</v>
      </c>
      <c r="R55">
        <f>_xlfn.XLOOKUP($A55,'2017-2018'!$B$4:$B$23,'2017-2018'!S$4:S$23)</f>
        <v>1</v>
      </c>
      <c r="S55">
        <f>_xlfn.XLOOKUP($A55,'2017-2018'!$B$4:$B$23,'2017-2018'!T$4:T$23)</f>
        <v>74</v>
      </c>
      <c r="T55">
        <f>_xlfn.XLOOKUP($A55,'2017-2018'!$B$4:$B$23,'2017-2018'!U$4:U$23)</f>
        <v>1</v>
      </c>
      <c r="U55">
        <f>_xlfn.XLOOKUP($A55,'2017-2018'!$B$4:$B$23,'2017-2018'!V$4:V$23)</f>
        <v>6</v>
      </c>
      <c r="V55">
        <f>_xlfn.XLOOKUP($A55,'2017-2018'!$B$4:$B$23,'2017-2018'!W$4:W$23)</f>
        <v>93</v>
      </c>
      <c r="W55">
        <f>_xlfn.XLOOKUP($A55,'2017-2018'!$B$4:$B$23,'2017-2018'!X$4:X$23)</f>
        <v>997</v>
      </c>
      <c r="X55">
        <f>_xlfn.XLOOKUP($A55,'2017-2018'!$B$4:$B$23,'2017-2018'!Y$4:Y$23)</f>
        <v>237</v>
      </c>
      <c r="Y55">
        <f>_xlfn.XLOOKUP($A55,'2017-2018'!$B$4:$B$23,'2017-2018'!Z$4:Z$23)</f>
        <v>441</v>
      </c>
      <c r="Z55">
        <f>_xlfn.XLOOKUP($A55,'2017-2018'!$B$4:$B$23,'2017-2018'!AA$4:AA$23)</f>
        <v>12758</v>
      </c>
      <c r="AA55">
        <f>_xlfn.XLOOKUP($A55,'2017-2018'!$B$4:$B$23,'2017-2018'!AB$4:AB$23)</f>
        <v>27</v>
      </c>
      <c r="AB55">
        <f>_xlfn.XLOOKUP($A55,'2017-2018'!$B$4:$B$23,'2017-2018'!AC$4:AC$23)</f>
        <v>2241</v>
      </c>
      <c r="AC55">
        <f>_xlfn.XLOOKUP($A55,'2017-2018'!$B$4:$B$23,'2017-2018'!AD$4:AD$23)</f>
        <v>713</v>
      </c>
      <c r="AD55">
        <f>_xlfn.XLOOKUP($A55,'2017-2018'!$B$4:$B$23,'2017-2018'!AE$4:AE$23)</f>
        <v>183</v>
      </c>
      <c r="AE55">
        <f>_xlfn.XLOOKUP($A55,'2017-2018'!$B$4:$B$23,'2017-2018'!AF$4:AF$23)</f>
        <v>73.400000000000006</v>
      </c>
      <c r="AF55">
        <f>_xlfn.XLOOKUP($A55,'2017-2018'!$B$4:$B$23,'2017-2018'!AG$4:AG$23)</f>
        <v>18.739999999999998</v>
      </c>
      <c r="AG55">
        <f>_xlfn.XLOOKUP($A55,'2017-2018'!$B$4:$B$23,'2017-2018'!AH$4:AH$23)</f>
        <v>32</v>
      </c>
      <c r="AH55">
        <f>_xlfn.XLOOKUP($A55,'2017-2018'!$B$4:$B$23,'2017-2018'!AI$4:AI$23)</f>
        <v>30</v>
      </c>
      <c r="AI55">
        <f>_xlfn.XLOOKUP($A55,'2017-2018'!$B$4:$B$23,'2017-2018'!AJ$4:AJ$23)</f>
        <v>196</v>
      </c>
      <c r="AJ55">
        <f>_xlfn.XLOOKUP($A55,'2017-2018'!$B$4:$B$23,'2017-2018'!AK$4:AK$23)</f>
        <v>37</v>
      </c>
      <c r="AK55">
        <f>_xlfn.XLOOKUP($A55,'2017-2018'!$B$4:$B$23,'2017-2018'!AL$4:AL$23)</f>
        <v>5.2972972972972974</v>
      </c>
      <c r="AL55">
        <f>_xlfn.XLOOKUP($A55,'2017-2018'!$B$4:$B$23,'2017-2018'!AM$4:AM$23)</f>
        <v>20231</v>
      </c>
      <c r="AM55">
        <f>_xlfn.XLOOKUP($A55,'2017-2018'!$B$4:$B$23,'2017-2018'!AN$4:AN$23)</f>
        <v>0.13</v>
      </c>
      <c r="AN55">
        <f>_xlfn.XLOOKUP($A55,'2017-2018'!$B$4:$B$23,'2017-2018'!AO$4:AO$23)</f>
        <v>0</v>
      </c>
      <c r="AO55">
        <f>_xlfn.XLOOKUP($A55,'2017-2018'!$B$4:$B$23,'2017-2018'!AP$4:AP$23)</f>
        <v>0</v>
      </c>
      <c r="AP55">
        <f>_xlfn.XLOOKUP($A55,'2017-2018'!$B$4:$B$23,'2017-2018'!AQ$4:AQ$23)</f>
        <v>0</v>
      </c>
      <c r="AQ55">
        <f>_xlfn.XLOOKUP($A55,'2017-2018'!$B$4:$B$23,'2017-2018'!AR$4:AR$23)</f>
        <v>0</v>
      </c>
      <c r="AR55">
        <f>_xlfn.XLOOKUP($A55,'2017-2018'!$B$4:$B$23,'2017-2018'!AS$4:AS$23)</f>
        <v>0</v>
      </c>
      <c r="AS55" t="str">
        <f>_xlfn.XLOOKUP($A55,'2017-2018'!$B$4:$B$23,'2017-2018'!AT$4:AT$23)</f>
        <v>17/18</v>
      </c>
    </row>
    <row r="56" spans="1:45" x14ac:dyDescent="0.25">
      <c r="A56">
        <v>15</v>
      </c>
      <c r="B56" t="str">
        <f>_xlfn.XLOOKUP($A56,'2017-2018'!$B$4:$B$23,'2017-2018'!C$4:C$23)</f>
        <v>Brighton and Hove Albion</v>
      </c>
      <c r="C56">
        <f>_xlfn.XLOOKUP($A56,'2017-2018'!$B$4:$B$23,'2017-2018'!D$4:D$23)</f>
        <v>34</v>
      </c>
      <c r="D56">
        <f>_xlfn.XLOOKUP($A56,'2017-2018'!$B$4:$B$23,'2017-2018'!E$4:E$23)</f>
        <v>54</v>
      </c>
      <c r="E56">
        <f>_xlfn.XLOOKUP($A56,'2017-2018'!$B$4:$B$23,'2017-2018'!F$4:F$23)</f>
        <v>-20</v>
      </c>
      <c r="F56">
        <f>_xlfn.XLOOKUP($A56,'2017-2018'!$B$4:$B$23,'2017-2018'!G$4:G$23)</f>
        <v>10</v>
      </c>
      <c r="G56">
        <f>_xlfn.XLOOKUP($A56,'2017-2018'!$B$4:$B$23,'2017-2018'!H$4:H$23)</f>
        <v>54</v>
      </c>
      <c r="H56">
        <f>_xlfn.XLOOKUP($A56,'2017-2018'!$B$4:$B$23,'2017-2018'!I$4:I$23)</f>
        <v>2</v>
      </c>
      <c r="I56">
        <f>_xlfn.XLOOKUP($A56,'2017-2018'!$B$4:$B$23,'2017-2018'!J$4:J$23)</f>
        <v>37</v>
      </c>
      <c r="J56">
        <f>_xlfn.XLOOKUP($A56,'2017-2018'!$B$4:$B$23,'2017-2018'!K$4:K$23)</f>
        <v>50.8</v>
      </c>
      <c r="K56">
        <f>_xlfn.XLOOKUP($A56,'2017-2018'!$B$4:$B$23,'2017-2018'!L$4:L$23)</f>
        <v>-3</v>
      </c>
      <c r="L56">
        <f>_xlfn.XLOOKUP($A56,'2017-2018'!$B$4:$B$23,'2017-2018'!M$4:M$23)</f>
        <v>377</v>
      </c>
      <c r="M56">
        <f>_xlfn.XLOOKUP($A56,'2017-2018'!$B$4:$B$23,'2017-2018'!N$4:N$23)</f>
        <v>377</v>
      </c>
      <c r="N56">
        <f>_xlfn.XLOOKUP($A56,'2017-2018'!$B$4:$B$23,'2017-2018'!O$4:O$23)</f>
        <v>5</v>
      </c>
      <c r="O56">
        <f>_xlfn.XLOOKUP($A56,'2017-2018'!$B$4:$B$23,'2017-2018'!P$4:P$23)</f>
        <v>7</v>
      </c>
      <c r="P56">
        <f>_xlfn.XLOOKUP($A56,'2017-2018'!$B$4:$B$23,'2017-2018'!Q$4:Q$23)</f>
        <v>30</v>
      </c>
      <c r="Q56">
        <f>_xlfn.XLOOKUP($A56,'2017-2018'!$B$4:$B$23,'2017-2018'!R$4:R$23)</f>
        <v>4</v>
      </c>
      <c r="R56">
        <f>_xlfn.XLOOKUP($A56,'2017-2018'!$B$4:$B$23,'2017-2018'!S$4:S$23)</f>
        <v>0</v>
      </c>
      <c r="S56">
        <f>_xlfn.XLOOKUP($A56,'2017-2018'!$B$4:$B$23,'2017-2018'!T$4:T$23)</f>
        <v>98</v>
      </c>
      <c r="T56">
        <f>_xlfn.XLOOKUP($A56,'2017-2018'!$B$4:$B$23,'2017-2018'!U$4:U$23)</f>
        <v>5</v>
      </c>
      <c r="U56">
        <f>_xlfn.XLOOKUP($A56,'2017-2018'!$B$4:$B$23,'2017-2018'!V$4:V$23)</f>
        <v>3</v>
      </c>
      <c r="V56">
        <f>_xlfn.XLOOKUP($A56,'2017-2018'!$B$4:$B$23,'2017-2018'!W$4:W$23)</f>
        <v>121</v>
      </c>
      <c r="W56">
        <f>_xlfn.XLOOKUP($A56,'2017-2018'!$B$4:$B$23,'2017-2018'!X$4:X$23)</f>
        <v>1182</v>
      </c>
      <c r="X56">
        <f>_xlfn.XLOOKUP($A56,'2017-2018'!$B$4:$B$23,'2017-2018'!Y$4:Y$23)</f>
        <v>205</v>
      </c>
      <c r="Y56">
        <f>_xlfn.XLOOKUP($A56,'2017-2018'!$B$4:$B$23,'2017-2018'!Z$4:Z$23)</f>
        <v>413</v>
      </c>
      <c r="Z56">
        <f>_xlfn.XLOOKUP($A56,'2017-2018'!$B$4:$B$23,'2017-2018'!AA$4:AA$23)</f>
        <v>11838</v>
      </c>
      <c r="AA56">
        <f>_xlfn.XLOOKUP($A56,'2017-2018'!$B$4:$B$23,'2017-2018'!AB$4:AB$23)</f>
        <v>32</v>
      </c>
      <c r="AB56">
        <f>_xlfn.XLOOKUP($A56,'2017-2018'!$B$4:$B$23,'2017-2018'!AC$4:AC$23)</f>
        <v>2204</v>
      </c>
      <c r="AC56">
        <f>_xlfn.XLOOKUP($A56,'2017-2018'!$B$4:$B$23,'2017-2018'!AD$4:AD$23)</f>
        <v>680</v>
      </c>
      <c r="AD56">
        <f>_xlfn.XLOOKUP($A56,'2017-2018'!$B$4:$B$23,'2017-2018'!AE$4:AE$23)</f>
        <v>163</v>
      </c>
      <c r="AE56">
        <f>_xlfn.XLOOKUP($A56,'2017-2018'!$B$4:$B$23,'2017-2018'!AF$4:AF$23)</f>
        <v>66.5</v>
      </c>
      <c r="AF56">
        <f>_xlfn.XLOOKUP($A56,'2017-2018'!$B$4:$B$23,'2017-2018'!AG$4:AG$23)</f>
        <v>0.4</v>
      </c>
      <c r="AG56">
        <f>_xlfn.XLOOKUP($A56,'2017-2018'!$B$4:$B$23,'2017-2018'!AH$4:AH$23)</f>
        <v>23</v>
      </c>
      <c r="AH56">
        <f>_xlfn.XLOOKUP($A56,'2017-2018'!$B$4:$B$23,'2017-2018'!AI$4:AI$23)</f>
        <v>22</v>
      </c>
      <c r="AI56">
        <f>_xlfn.XLOOKUP($A56,'2017-2018'!$B$4:$B$23,'2017-2018'!AJ$4:AJ$23)</f>
        <v>148.19999999999999</v>
      </c>
      <c r="AJ56">
        <f>_xlfn.XLOOKUP($A56,'2017-2018'!$B$4:$B$23,'2017-2018'!AK$4:AK$23)</f>
        <v>39</v>
      </c>
      <c r="AK56">
        <f>_xlfn.XLOOKUP($A56,'2017-2018'!$B$4:$B$23,'2017-2018'!AL$4:AL$23)</f>
        <v>3.8</v>
      </c>
      <c r="AL56">
        <f>_xlfn.XLOOKUP($A56,'2017-2018'!$B$4:$B$23,'2017-2018'!AM$4:AM$23)</f>
        <v>30403</v>
      </c>
      <c r="AM56">
        <f>_xlfn.XLOOKUP($A56,'2017-2018'!$B$4:$B$23,'2017-2018'!AN$4:AN$23)</f>
        <v>0.25</v>
      </c>
      <c r="AN56">
        <f>_xlfn.XLOOKUP($A56,'2017-2018'!$B$4:$B$23,'2017-2018'!AO$4:AO$23)</f>
        <v>0</v>
      </c>
      <c r="AO56">
        <f>_xlfn.XLOOKUP($A56,'2017-2018'!$B$4:$B$23,'2017-2018'!AP$4:AP$23)</f>
        <v>1</v>
      </c>
      <c r="AP56">
        <f>_xlfn.XLOOKUP($A56,'2017-2018'!$B$4:$B$23,'2017-2018'!AQ$4:AQ$23)</f>
        <v>0</v>
      </c>
      <c r="AQ56">
        <f>_xlfn.XLOOKUP($A56,'2017-2018'!$B$4:$B$23,'2017-2018'!AR$4:AR$23)</f>
        <v>0</v>
      </c>
      <c r="AR56">
        <f>_xlfn.XLOOKUP($A56,'2017-2018'!$B$4:$B$23,'2017-2018'!AS$4:AS$23)</f>
        <v>0</v>
      </c>
      <c r="AS56" t="str">
        <f>_xlfn.XLOOKUP($A56,'2017-2018'!$B$4:$B$23,'2017-2018'!AT$4:AT$23)</f>
        <v>17/18</v>
      </c>
    </row>
    <row r="57" spans="1:45" x14ac:dyDescent="0.25">
      <c r="A57">
        <v>16</v>
      </c>
      <c r="B57" t="str">
        <f>_xlfn.XLOOKUP($A57,'2017-2018'!$B$4:$B$23,'2017-2018'!C$4:C$23)</f>
        <v>Huddersfield Town</v>
      </c>
      <c r="C57">
        <f>_xlfn.XLOOKUP($A57,'2017-2018'!$B$4:$B$23,'2017-2018'!D$4:D$23)</f>
        <v>28</v>
      </c>
      <c r="D57">
        <f>_xlfn.XLOOKUP($A57,'2017-2018'!$B$4:$B$23,'2017-2018'!E$4:E$23)</f>
        <v>58</v>
      </c>
      <c r="E57">
        <f>_xlfn.XLOOKUP($A57,'2017-2018'!$B$4:$B$23,'2017-2018'!F$4:F$23)</f>
        <v>-30</v>
      </c>
      <c r="F57">
        <f>_xlfn.XLOOKUP($A57,'2017-2018'!$B$4:$B$23,'2017-2018'!G$4:G$23)</f>
        <v>10</v>
      </c>
      <c r="G57">
        <f>_xlfn.XLOOKUP($A57,'2017-2018'!$B$4:$B$23,'2017-2018'!H$4:H$23)</f>
        <v>62</v>
      </c>
      <c r="H57">
        <f>_xlfn.XLOOKUP($A57,'2017-2018'!$B$4:$B$23,'2017-2018'!I$4:I$23)</f>
        <v>3</v>
      </c>
      <c r="I57">
        <f>_xlfn.XLOOKUP($A57,'2017-2018'!$B$4:$B$23,'2017-2018'!J$4:J$23)</f>
        <v>31.3</v>
      </c>
      <c r="J57">
        <f>_xlfn.XLOOKUP($A57,'2017-2018'!$B$4:$B$23,'2017-2018'!K$4:K$23)</f>
        <v>48.5</v>
      </c>
      <c r="K57">
        <f>_xlfn.XLOOKUP($A57,'2017-2018'!$B$4:$B$23,'2017-2018'!L$4:L$23)</f>
        <v>-3.3000000000000007</v>
      </c>
      <c r="L57">
        <f>_xlfn.XLOOKUP($A57,'2017-2018'!$B$4:$B$23,'2017-2018'!M$4:M$23)</f>
        <v>360</v>
      </c>
      <c r="M57">
        <f>_xlfn.XLOOKUP($A57,'2017-2018'!$B$4:$B$23,'2017-2018'!N$4:N$23)</f>
        <v>360</v>
      </c>
      <c r="N57">
        <f>_xlfn.XLOOKUP($A57,'2017-2018'!$B$4:$B$23,'2017-2018'!O$4:O$23)</f>
        <v>2</v>
      </c>
      <c r="O57">
        <f>_xlfn.XLOOKUP($A57,'2017-2018'!$B$4:$B$23,'2017-2018'!P$4:P$23)</f>
        <v>5</v>
      </c>
      <c r="P57">
        <f>_xlfn.XLOOKUP($A57,'2017-2018'!$B$4:$B$23,'2017-2018'!Q$4:Q$23)</f>
        <v>27</v>
      </c>
      <c r="Q57">
        <f>_xlfn.XLOOKUP($A57,'2017-2018'!$B$4:$B$23,'2017-2018'!R$4:R$23)</f>
        <v>1</v>
      </c>
      <c r="R57">
        <f>_xlfn.XLOOKUP($A57,'2017-2018'!$B$4:$B$23,'2017-2018'!S$4:S$23)</f>
        <v>2</v>
      </c>
      <c r="S57">
        <f>_xlfn.XLOOKUP($A57,'2017-2018'!$B$4:$B$23,'2017-2018'!T$4:T$23)</f>
        <v>67</v>
      </c>
      <c r="T57">
        <f>_xlfn.XLOOKUP($A57,'2017-2018'!$B$4:$B$23,'2017-2018'!U$4:U$23)</f>
        <v>1</v>
      </c>
      <c r="U57">
        <f>_xlfn.XLOOKUP($A57,'2017-2018'!$B$4:$B$23,'2017-2018'!V$4:V$23)</f>
        <v>6</v>
      </c>
      <c r="V57">
        <f>_xlfn.XLOOKUP($A57,'2017-2018'!$B$4:$B$23,'2017-2018'!W$4:W$23)</f>
        <v>99</v>
      </c>
      <c r="W57">
        <f>_xlfn.XLOOKUP($A57,'2017-2018'!$B$4:$B$23,'2017-2018'!X$4:X$23)</f>
        <v>1129</v>
      </c>
      <c r="X57">
        <f>_xlfn.XLOOKUP($A57,'2017-2018'!$B$4:$B$23,'2017-2018'!Y$4:Y$23)</f>
        <v>249</v>
      </c>
      <c r="Y57">
        <f>_xlfn.XLOOKUP($A57,'2017-2018'!$B$4:$B$23,'2017-2018'!Z$4:Z$23)</f>
        <v>397</v>
      </c>
      <c r="Z57">
        <f>_xlfn.XLOOKUP($A57,'2017-2018'!$B$4:$B$23,'2017-2018'!AA$4:AA$23)</f>
        <v>12036</v>
      </c>
      <c r="AA57">
        <f>_xlfn.XLOOKUP($A57,'2017-2018'!$B$4:$B$23,'2017-2018'!AB$4:AB$23)</f>
        <v>26</v>
      </c>
      <c r="AB57">
        <f>_xlfn.XLOOKUP($A57,'2017-2018'!$B$4:$B$23,'2017-2018'!AC$4:AC$23)</f>
        <v>2267</v>
      </c>
      <c r="AC57">
        <f>_xlfn.XLOOKUP($A57,'2017-2018'!$B$4:$B$23,'2017-2018'!AD$4:AD$23)</f>
        <v>765</v>
      </c>
      <c r="AD57">
        <f>_xlfn.XLOOKUP($A57,'2017-2018'!$B$4:$B$23,'2017-2018'!AE$4:AE$23)</f>
        <v>165</v>
      </c>
      <c r="AE57">
        <f>_xlfn.XLOOKUP($A57,'2017-2018'!$B$4:$B$23,'2017-2018'!AF$4:AF$23)</f>
        <v>56.75</v>
      </c>
      <c r="AF57">
        <f>_xlfn.XLOOKUP($A57,'2017-2018'!$B$4:$B$23,'2017-2018'!AG$4:AG$23)</f>
        <v>6.46</v>
      </c>
      <c r="AG57">
        <f>_xlfn.XLOOKUP($A57,'2017-2018'!$B$4:$B$23,'2017-2018'!AH$4:AH$23)</f>
        <v>22</v>
      </c>
      <c r="AH57">
        <f>_xlfn.XLOOKUP($A57,'2017-2018'!$B$4:$B$23,'2017-2018'!AI$4:AI$23)</f>
        <v>16</v>
      </c>
      <c r="AI57">
        <f>_xlfn.XLOOKUP($A57,'2017-2018'!$B$4:$B$23,'2017-2018'!AJ$4:AJ$23)</f>
        <v>106.05</v>
      </c>
      <c r="AJ57">
        <f>_xlfn.XLOOKUP($A57,'2017-2018'!$B$4:$B$23,'2017-2018'!AK$4:AK$23)</f>
        <v>35</v>
      </c>
      <c r="AK57">
        <f>_xlfn.XLOOKUP($A57,'2017-2018'!$B$4:$B$23,'2017-2018'!AL$4:AL$23)</f>
        <v>3.03</v>
      </c>
      <c r="AL57">
        <f>_xlfn.XLOOKUP($A57,'2017-2018'!$B$4:$B$23,'2017-2018'!AM$4:AM$23)</f>
        <v>24040</v>
      </c>
      <c r="AM57">
        <f>_xlfn.XLOOKUP($A57,'2017-2018'!$B$4:$B$23,'2017-2018'!AN$4:AN$23)</f>
        <v>0.14000000000000001</v>
      </c>
      <c r="AN57">
        <f>_xlfn.XLOOKUP($A57,'2017-2018'!$B$4:$B$23,'2017-2018'!AO$4:AO$23)</f>
        <v>0</v>
      </c>
      <c r="AO57">
        <f>_xlfn.XLOOKUP($A57,'2017-2018'!$B$4:$B$23,'2017-2018'!AP$4:AP$23)</f>
        <v>1</v>
      </c>
      <c r="AP57">
        <f>_xlfn.XLOOKUP($A57,'2017-2018'!$B$4:$B$23,'2017-2018'!AQ$4:AQ$23)</f>
        <v>0</v>
      </c>
      <c r="AQ57">
        <f>_xlfn.XLOOKUP($A57,'2017-2018'!$B$4:$B$23,'2017-2018'!AR$4:AR$23)</f>
        <v>0</v>
      </c>
      <c r="AR57">
        <f>_xlfn.XLOOKUP($A57,'2017-2018'!$B$4:$B$23,'2017-2018'!AS$4:AS$23)</f>
        <v>0</v>
      </c>
      <c r="AS57" t="str">
        <f>_xlfn.XLOOKUP($A57,'2017-2018'!$B$4:$B$23,'2017-2018'!AT$4:AT$23)</f>
        <v>17/18</v>
      </c>
    </row>
    <row r="58" spans="1:45" x14ac:dyDescent="0.25">
      <c r="A58">
        <v>17</v>
      </c>
      <c r="B58" t="str">
        <f>_xlfn.XLOOKUP($A58,'2017-2018'!$B$4:$B$23,'2017-2018'!C$4:C$23)</f>
        <v>Southampton</v>
      </c>
      <c r="C58">
        <f>_xlfn.XLOOKUP($A58,'2017-2018'!$B$4:$B$23,'2017-2018'!D$4:D$23)</f>
        <v>37</v>
      </c>
      <c r="D58">
        <f>_xlfn.XLOOKUP($A58,'2017-2018'!$B$4:$B$23,'2017-2018'!E$4:E$23)</f>
        <v>56</v>
      </c>
      <c r="E58">
        <f>_xlfn.XLOOKUP($A58,'2017-2018'!$B$4:$B$23,'2017-2018'!F$4:F$23)</f>
        <v>-19</v>
      </c>
      <c r="F58">
        <f>_xlfn.XLOOKUP($A58,'2017-2018'!$B$4:$B$23,'2017-2018'!G$4:G$23)</f>
        <v>8</v>
      </c>
      <c r="G58">
        <f>_xlfn.XLOOKUP($A58,'2017-2018'!$B$4:$B$23,'2017-2018'!H$4:H$23)</f>
        <v>63</v>
      </c>
      <c r="H58">
        <f>_xlfn.XLOOKUP($A58,'2017-2018'!$B$4:$B$23,'2017-2018'!I$4:I$23)</f>
        <v>2</v>
      </c>
      <c r="I58">
        <f>_xlfn.XLOOKUP($A58,'2017-2018'!$B$4:$B$23,'2017-2018'!J$4:J$23)</f>
        <v>39.9</v>
      </c>
      <c r="J58">
        <f>_xlfn.XLOOKUP($A58,'2017-2018'!$B$4:$B$23,'2017-2018'!K$4:K$23)</f>
        <v>45.2</v>
      </c>
      <c r="K58">
        <f>_xlfn.XLOOKUP($A58,'2017-2018'!$B$4:$B$23,'2017-2018'!L$4:L$23)</f>
        <v>-2.8999999999999986</v>
      </c>
      <c r="L58">
        <f>_xlfn.XLOOKUP($A58,'2017-2018'!$B$4:$B$23,'2017-2018'!M$4:M$23)</f>
        <v>447</v>
      </c>
      <c r="M58">
        <f>_xlfn.XLOOKUP($A58,'2017-2018'!$B$4:$B$23,'2017-2018'!N$4:N$23)</f>
        <v>447</v>
      </c>
      <c r="N58">
        <f>_xlfn.XLOOKUP($A58,'2017-2018'!$B$4:$B$23,'2017-2018'!O$4:O$23)</f>
        <v>3</v>
      </c>
      <c r="O58">
        <f>_xlfn.XLOOKUP($A58,'2017-2018'!$B$4:$B$23,'2017-2018'!P$4:P$23)</f>
        <v>7</v>
      </c>
      <c r="P58">
        <f>_xlfn.XLOOKUP($A58,'2017-2018'!$B$4:$B$23,'2017-2018'!Q$4:Q$23)</f>
        <v>34</v>
      </c>
      <c r="Q58">
        <f>_xlfn.XLOOKUP($A58,'2017-2018'!$B$4:$B$23,'2017-2018'!R$4:R$23)</f>
        <v>3</v>
      </c>
      <c r="R58">
        <f>_xlfn.XLOOKUP($A58,'2017-2018'!$B$4:$B$23,'2017-2018'!S$4:S$23)</f>
        <v>2</v>
      </c>
      <c r="S58">
        <f>_xlfn.XLOOKUP($A58,'2017-2018'!$B$4:$B$23,'2017-2018'!T$4:T$23)</f>
        <v>73</v>
      </c>
      <c r="T58">
        <f>_xlfn.XLOOKUP($A58,'2017-2018'!$B$4:$B$23,'2017-2018'!U$4:U$23)</f>
        <v>0</v>
      </c>
      <c r="U58">
        <f>_xlfn.XLOOKUP($A58,'2017-2018'!$B$4:$B$23,'2017-2018'!V$4:V$23)</f>
        <v>2</v>
      </c>
      <c r="V58">
        <f>_xlfn.XLOOKUP($A58,'2017-2018'!$B$4:$B$23,'2017-2018'!W$4:W$23)</f>
        <v>108</v>
      </c>
      <c r="W58">
        <f>_xlfn.XLOOKUP($A58,'2017-2018'!$B$4:$B$23,'2017-2018'!X$4:X$23)</f>
        <v>1034</v>
      </c>
      <c r="X58">
        <f>_xlfn.XLOOKUP($A58,'2017-2018'!$B$4:$B$23,'2017-2018'!Y$4:Y$23)</f>
        <v>244</v>
      </c>
      <c r="Y58">
        <f>_xlfn.XLOOKUP($A58,'2017-2018'!$B$4:$B$23,'2017-2018'!Z$4:Z$23)</f>
        <v>416</v>
      </c>
      <c r="Z58">
        <f>_xlfn.XLOOKUP($A58,'2017-2018'!$B$4:$B$23,'2017-2018'!AA$4:AA$23)</f>
        <v>14336</v>
      </c>
      <c r="AA58">
        <f>_xlfn.XLOOKUP($A58,'2017-2018'!$B$4:$B$23,'2017-2018'!AB$4:AB$23)</f>
        <v>53</v>
      </c>
      <c r="AB58">
        <f>_xlfn.XLOOKUP($A58,'2017-2018'!$B$4:$B$23,'2017-2018'!AC$4:AC$23)</f>
        <v>2589</v>
      </c>
      <c r="AC58">
        <f>_xlfn.XLOOKUP($A58,'2017-2018'!$B$4:$B$23,'2017-2018'!AD$4:AD$23)</f>
        <v>800</v>
      </c>
      <c r="AD58">
        <f>_xlfn.XLOOKUP($A58,'2017-2018'!$B$4:$B$23,'2017-2018'!AE$4:AE$23)</f>
        <v>227</v>
      </c>
      <c r="AE58">
        <f>_xlfn.XLOOKUP($A58,'2017-2018'!$B$4:$B$23,'2017-2018'!AF$4:AF$23)</f>
        <v>61.25</v>
      </c>
      <c r="AF58">
        <f>_xlfn.XLOOKUP($A58,'2017-2018'!$B$4:$B$23,'2017-2018'!AG$4:AG$23)</f>
        <v>98.35</v>
      </c>
      <c r="AG58">
        <f>_xlfn.XLOOKUP($A58,'2017-2018'!$B$4:$B$23,'2017-2018'!AH$4:AH$23)</f>
        <v>12</v>
      </c>
      <c r="AH58">
        <f>_xlfn.XLOOKUP($A58,'2017-2018'!$B$4:$B$23,'2017-2018'!AI$4:AI$23)</f>
        <v>14</v>
      </c>
      <c r="AI58">
        <f>_xlfn.XLOOKUP($A58,'2017-2018'!$B$4:$B$23,'2017-2018'!AJ$4:AJ$23)</f>
        <v>297</v>
      </c>
      <c r="AJ58">
        <f>_xlfn.XLOOKUP($A58,'2017-2018'!$B$4:$B$23,'2017-2018'!AK$4:AK$23)</f>
        <v>29</v>
      </c>
      <c r="AK58">
        <f>_xlfn.XLOOKUP($A58,'2017-2018'!$B$4:$B$23,'2017-2018'!AL$4:AL$23)</f>
        <v>10.241379310344827</v>
      </c>
      <c r="AL58">
        <f>_xlfn.XLOOKUP($A58,'2017-2018'!$B$4:$B$23,'2017-2018'!AM$4:AM$23)</f>
        <v>30794</v>
      </c>
      <c r="AM58">
        <f>_xlfn.XLOOKUP($A58,'2017-2018'!$B$4:$B$23,'2017-2018'!AN$4:AN$23)</f>
        <v>0.08</v>
      </c>
      <c r="AN58">
        <f>_xlfn.XLOOKUP($A58,'2017-2018'!$B$4:$B$23,'2017-2018'!AO$4:AO$23)</f>
        <v>0</v>
      </c>
      <c r="AO58">
        <f>_xlfn.XLOOKUP($A58,'2017-2018'!$B$4:$B$23,'2017-2018'!AP$4:AP$23)</f>
        <v>0</v>
      </c>
      <c r="AP58">
        <f>_xlfn.XLOOKUP($A58,'2017-2018'!$B$4:$B$23,'2017-2018'!AQ$4:AQ$23)</f>
        <v>0</v>
      </c>
      <c r="AQ58">
        <f>_xlfn.XLOOKUP($A58,'2017-2018'!$B$4:$B$23,'2017-2018'!AR$4:AR$23)</f>
        <v>0</v>
      </c>
      <c r="AR58">
        <f>_xlfn.XLOOKUP($A58,'2017-2018'!$B$4:$B$23,'2017-2018'!AS$4:AS$23)</f>
        <v>0</v>
      </c>
      <c r="AS58" t="str">
        <f>_xlfn.XLOOKUP($A58,'2017-2018'!$B$4:$B$23,'2017-2018'!AT$4:AT$23)</f>
        <v>17/18</v>
      </c>
    </row>
    <row r="59" spans="1:45" x14ac:dyDescent="0.25">
      <c r="A59">
        <v>18</v>
      </c>
      <c r="B59" t="str">
        <f>_xlfn.XLOOKUP($A59,'2017-2018'!$B$4:$B$23,'2017-2018'!C$4:C$23)</f>
        <v>Swansea City</v>
      </c>
      <c r="C59">
        <f>_xlfn.XLOOKUP($A59,'2017-2018'!$B$4:$B$23,'2017-2018'!D$4:D$23)</f>
        <v>28</v>
      </c>
      <c r="D59">
        <f>_xlfn.XLOOKUP($A59,'2017-2018'!$B$4:$B$23,'2017-2018'!E$4:E$23)</f>
        <v>56</v>
      </c>
      <c r="E59">
        <f>_xlfn.XLOOKUP($A59,'2017-2018'!$B$4:$B$23,'2017-2018'!F$4:F$23)</f>
        <v>-28</v>
      </c>
      <c r="F59">
        <f>_xlfn.XLOOKUP($A59,'2017-2018'!$B$4:$B$23,'2017-2018'!G$4:G$23)</f>
        <v>9</v>
      </c>
      <c r="G59">
        <f>_xlfn.XLOOKUP($A59,'2017-2018'!$B$4:$B$23,'2017-2018'!H$4:H$23)</f>
        <v>51</v>
      </c>
      <c r="H59">
        <f>_xlfn.XLOOKUP($A59,'2017-2018'!$B$4:$B$23,'2017-2018'!I$4:I$23)</f>
        <v>1</v>
      </c>
      <c r="I59">
        <f>_xlfn.XLOOKUP($A59,'2017-2018'!$B$4:$B$23,'2017-2018'!J$4:J$23)</f>
        <v>31.6</v>
      </c>
      <c r="J59">
        <f>_xlfn.XLOOKUP($A59,'2017-2018'!$B$4:$B$23,'2017-2018'!K$4:K$23)</f>
        <v>58.6</v>
      </c>
      <c r="K59">
        <f>_xlfn.XLOOKUP($A59,'2017-2018'!$B$4:$B$23,'2017-2018'!L$4:L$23)</f>
        <v>-3.6000000000000014</v>
      </c>
      <c r="L59">
        <f>_xlfn.XLOOKUP($A59,'2017-2018'!$B$4:$B$23,'2017-2018'!M$4:M$23)</f>
        <v>338</v>
      </c>
      <c r="M59">
        <f>_xlfn.XLOOKUP($A59,'2017-2018'!$B$4:$B$23,'2017-2018'!N$4:N$23)</f>
        <v>338</v>
      </c>
      <c r="N59">
        <f>_xlfn.XLOOKUP($A59,'2017-2018'!$B$4:$B$23,'2017-2018'!O$4:O$23)</f>
        <v>1</v>
      </c>
      <c r="O59">
        <f>_xlfn.XLOOKUP($A59,'2017-2018'!$B$4:$B$23,'2017-2018'!P$4:P$23)</f>
        <v>3</v>
      </c>
      <c r="P59">
        <f>_xlfn.XLOOKUP($A59,'2017-2018'!$B$4:$B$23,'2017-2018'!Q$4:Q$23)</f>
        <v>24</v>
      </c>
      <c r="Q59">
        <f>_xlfn.XLOOKUP($A59,'2017-2018'!$B$4:$B$23,'2017-2018'!R$4:R$23)</f>
        <v>4</v>
      </c>
      <c r="R59">
        <f>_xlfn.XLOOKUP($A59,'2017-2018'!$B$4:$B$23,'2017-2018'!S$4:S$23)</f>
        <v>0</v>
      </c>
      <c r="S59">
        <f>_xlfn.XLOOKUP($A59,'2017-2018'!$B$4:$B$23,'2017-2018'!T$4:T$23)</f>
        <v>38</v>
      </c>
      <c r="T59">
        <f>_xlfn.XLOOKUP($A59,'2017-2018'!$B$4:$B$23,'2017-2018'!U$4:U$23)</f>
        <v>2</v>
      </c>
      <c r="U59">
        <f>_xlfn.XLOOKUP($A59,'2017-2018'!$B$4:$B$23,'2017-2018'!V$4:V$23)</f>
        <v>6</v>
      </c>
      <c r="V59">
        <f>_xlfn.XLOOKUP($A59,'2017-2018'!$B$4:$B$23,'2017-2018'!W$4:W$23)</f>
        <v>133</v>
      </c>
      <c r="W59">
        <f>_xlfn.XLOOKUP($A59,'2017-2018'!$B$4:$B$23,'2017-2018'!X$4:X$23)</f>
        <v>1019</v>
      </c>
      <c r="X59">
        <f>_xlfn.XLOOKUP($A59,'2017-2018'!$B$4:$B$23,'2017-2018'!Y$4:Y$23)</f>
        <v>221</v>
      </c>
      <c r="Y59">
        <f>_xlfn.XLOOKUP($A59,'2017-2018'!$B$4:$B$23,'2017-2018'!Z$4:Z$23)</f>
        <v>377</v>
      </c>
      <c r="Z59">
        <f>_xlfn.XLOOKUP($A59,'2017-2018'!$B$4:$B$23,'2017-2018'!AA$4:AA$23)</f>
        <v>13223</v>
      </c>
      <c r="AA59">
        <f>_xlfn.XLOOKUP($A59,'2017-2018'!$B$4:$B$23,'2017-2018'!AB$4:AB$23)</f>
        <v>23</v>
      </c>
      <c r="AB59">
        <f>_xlfn.XLOOKUP($A59,'2017-2018'!$B$4:$B$23,'2017-2018'!AC$4:AC$23)</f>
        <v>2582</v>
      </c>
      <c r="AC59">
        <f>_xlfn.XLOOKUP($A59,'2017-2018'!$B$4:$B$23,'2017-2018'!AD$4:AD$23)</f>
        <v>694</v>
      </c>
      <c r="AD59">
        <f>_xlfn.XLOOKUP($A59,'2017-2018'!$B$4:$B$23,'2017-2018'!AE$4:AE$23)</f>
        <v>150</v>
      </c>
      <c r="AE59">
        <f>_xlfn.XLOOKUP($A59,'2017-2018'!$B$4:$B$23,'2017-2018'!AF$4:AF$23)</f>
        <v>73.39</v>
      </c>
      <c r="AF59">
        <f>_xlfn.XLOOKUP($A59,'2017-2018'!$B$4:$B$23,'2017-2018'!AG$4:AG$23)</f>
        <v>81.099999999999994</v>
      </c>
      <c r="AG59">
        <f>_xlfn.XLOOKUP($A59,'2017-2018'!$B$4:$B$23,'2017-2018'!AH$4:AH$23)</f>
        <v>21</v>
      </c>
      <c r="AH59">
        <f>_xlfn.XLOOKUP($A59,'2017-2018'!$B$4:$B$23,'2017-2018'!AI$4:AI$23)</f>
        <v>24</v>
      </c>
      <c r="AI59">
        <f>_xlfn.XLOOKUP($A59,'2017-2018'!$B$4:$B$23,'2017-2018'!AJ$4:AJ$23)</f>
        <v>165.49</v>
      </c>
      <c r="AJ59">
        <f>_xlfn.XLOOKUP($A59,'2017-2018'!$B$4:$B$23,'2017-2018'!AK$4:AK$23)</f>
        <v>36</v>
      </c>
      <c r="AK59">
        <f>_xlfn.XLOOKUP($A59,'2017-2018'!$B$4:$B$23,'2017-2018'!AL$4:AL$23)</f>
        <v>4.5969444444444445</v>
      </c>
      <c r="AL59">
        <f>_xlfn.XLOOKUP($A59,'2017-2018'!$B$4:$B$23,'2017-2018'!AM$4:AM$23)</f>
        <v>20623</v>
      </c>
      <c r="AM59">
        <f>_xlfn.XLOOKUP($A59,'2017-2018'!$B$4:$B$23,'2017-2018'!AN$4:AN$23)</f>
        <v>0.17</v>
      </c>
      <c r="AN59">
        <f>_xlfn.XLOOKUP($A59,'2017-2018'!$B$4:$B$23,'2017-2018'!AO$4:AO$23)</f>
        <v>0</v>
      </c>
      <c r="AO59">
        <f>_xlfn.XLOOKUP($A59,'2017-2018'!$B$4:$B$23,'2017-2018'!AP$4:AP$23)</f>
        <v>0</v>
      </c>
      <c r="AP59">
        <f>_xlfn.XLOOKUP($A59,'2017-2018'!$B$4:$B$23,'2017-2018'!AQ$4:AQ$23)</f>
        <v>0</v>
      </c>
      <c r="AQ59">
        <f>_xlfn.XLOOKUP($A59,'2017-2018'!$B$4:$B$23,'2017-2018'!AR$4:AR$23)</f>
        <v>1</v>
      </c>
      <c r="AR59">
        <f>_xlfn.XLOOKUP($A59,'2017-2018'!$B$4:$B$23,'2017-2018'!AS$4:AS$23)</f>
        <v>0</v>
      </c>
      <c r="AS59" t="str">
        <f>_xlfn.XLOOKUP($A59,'2017-2018'!$B$4:$B$23,'2017-2018'!AT$4:AT$23)</f>
        <v>17/18</v>
      </c>
    </row>
    <row r="60" spans="1:45" x14ac:dyDescent="0.25">
      <c r="A60">
        <v>19</v>
      </c>
      <c r="B60" t="str">
        <f>_xlfn.XLOOKUP($A60,'2017-2018'!$B$4:$B$23,'2017-2018'!C$4:C$23)</f>
        <v>Stoke City</v>
      </c>
      <c r="C60">
        <f>_xlfn.XLOOKUP($A60,'2017-2018'!$B$4:$B$23,'2017-2018'!D$4:D$23)</f>
        <v>35</v>
      </c>
      <c r="D60">
        <f>_xlfn.XLOOKUP($A60,'2017-2018'!$B$4:$B$23,'2017-2018'!E$4:E$23)</f>
        <v>68</v>
      </c>
      <c r="E60">
        <f>_xlfn.XLOOKUP($A60,'2017-2018'!$B$4:$B$23,'2017-2018'!F$4:F$23)</f>
        <v>-33</v>
      </c>
      <c r="F60">
        <f>_xlfn.XLOOKUP($A60,'2017-2018'!$B$4:$B$23,'2017-2018'!G$4:G$23)</f>
        <v>6</v>
      </c>
      <c r="G60">
        <f>_xlfn.XLOOKUP($A60,'2017-2018'!$B$4:$B$23,'2017-2018'!H$4:H$23)</f>
        <v>62</v>
      </c>
      <c r="H60">
        <f>_xlfn.XLOOKUP($A60,'2017-2018'!$B$4:$B$23,'2017-2018'!I$4:I$23)</f>
        <v>1</v>
      </c>
      <c r="I60">
        <f>_xlfn.XLOOKUP($A60,'2017-2018'!$B$4:$B$23,'2017-2018'!J$4:J$23)</f>
        <v>36.5</v>
      </c>
      <c r="J60">
        <f>_xlfn.XLOOKUP($A60,'2017-2018'!$B$4:$B$23,'2017-2018'!K$4:K$23)</f>
        <v>62.5</v>
      </c>
      <c r="K60">
        <f>_xlfn.XLOOKUP($A60,'2017-2018'!$B$4:$B$23,'2017-2018'!L$4:L$23)</f>
        <v>-1.5</v>
      </c>
      <c r="L60">
        <f>_xlfn.XLOOKUP($A60,'2017-2018'!$B$4:$B$23,'2017-2018'!M$4:M$23)</f>
        <v>380</v>
      </c>
      <c r="M60">
        <f>_xlfn.XLOOKUP($A60,'2017-2018'!$B$4:$B$23,'2017-2018'!N$4:N$23)</f>
        <v>380</v>
      </c>
      <c r="N60">
        <f>_xlfn.XLOOKUP($A60,'2017-2018'!$B$4:$B$23,'2017-2018'!O$4:O$23)</f>
        <v>0</v>
      </c>
      <c r="O60">
        <f>_xlfn.XLOOKUP($A60,'2017-2018'!$B$4:$B$23,'2017-2018'!P$4:P$23)</f>
        <v>8</v>
      </c>
      <c r="P60">
        <f>_xlfn.XLOOKUP($A60,'2017-2018'!$B$4:$B$23,'2017-2018'!Q$4:Q$23)</f>
        <v>28</v>
      </c>
      <c r="Q60">
        <f>_xlfn.XLOOKUP($A60,'2017-2018'!$B$4:$B$23,'2017-2018'!R$4:R$23)</f>
        <v>8</v>
      </c>
      <c r="R60">
        <f>_xlfn.XLOOKUP($A60,'2017-2018'!$B$4:$B$23,'2017-2018'!S$4:S$23)</f>
        <v>2</v>
      </c>
      <c r="S60">
        <f>_xlfn.XLOOKUP($A60,'2017-2018'!$B$4:$B$23,'2017-2018'!T$4:T$23)</f>
        <v>87</v>
      </c>
      <c r="T60">
        <f>_xlfn.XLOOKUP($A60,'2017-2018'!$B$4:$B$23,'2017-2018'!U$4:U$23)</f>
        <v>2</v>
      </c>
      <c r="U60">
        <f>_xlfn.XLOOKUP($A60,'2017-2018'!$B$4:$B$23,'2017-2018'!V$4:V$23)</f>
        <v>5</v>
      </c>
      <c r="V60">
        <f>_xlfn.XLOOKUP($A60,'2017-2018'!$B$4:$B$23,'2017-2018'!W$4:W$23)</f>
        <v>150</v>
      </c>
      <c r="W60">
        <f>_xlfn.XLOOKUP($A60,'2017-2018'!$B$4:$B$23,'2017-2018'!X$4:X$23)</f>
        <v>1265</v>
      </c>
      <c r="X60">
        <f>_xlfn.XLOOKUP($A60,'2017-2018'!$B$4:$B$23,'2017-2018'!Y$4:Y$23)</f>
        <v>228</v>
      </c>
      <c r="Y60">
        <f>_xlfn.XLOOKUP($A60,'2017-2018'!$B$4:$B$23,'2017-2018'!Z$4:Z$23)</f>
        <v>436</v>
      </c>
      <c r="Z60">
        <f>_xlfn.XLOOKUP($A60,'2017-2018'!$B$4:$B$23,'2017-2018'!AA$4:AA$23)</f>
        <v>10122</v>
      </c>
      <c r="AA60">
        <f>_xlfn.XLOOKUP($A60,'2017-2018'!$B$4:$B$23,'2017-2018'!AB$4:AB$23)</f>
        <v>33</v>
      </c>
      <c r="AB60">
        <f>_xlfn.XLOOKUP($A60,'2017-2018'!$B$4:$B$23,'2017-2018'!AC$4:AC$23)</f>
        <v>1979</v>
      </c>
      <c r="AC60">
        <f>_xlfn.XLOOKUP($A60,'2017-2018'!$B$4:$B$23,'2017-2018'!AD$4:AD$23)</f>
        <v>598</v>
      </c>
      <c r="AD60">
        <f>_xlfn.XLOOKUP($A60,'2017-2018'!$B$4:$B$23,'2017-2018'!AE$4:AE$23)</f>
        <v>136</v>
      </c>
      <c r="AE60">
        <f>_xlfn.XLOOKUP($A60,'2017-2018'!$B$4:$B$23,'2017-2018'!AF$4:AF$23)</f>
        <v>57.7</v>
      </c>
      <c r="AF60">
        <f>_xlfn.XLOOKUP($A60,'2017-2018'!$B$4:$B$23,'2017-2018'!AG$4:AG$23)</f>
        <v>35.14</v>
      </c>
      <c r="AG60">
        <f>_xlfn.XLOOKUP($A60,'2017-2018'!$B$4:$B$23,'2017-2018'!AH$4:AH$23)</f>
        <v>18</v>
      </c>
      <c r="AH60">
        <f>_xlfn.XLOOKUP($A60,'2017-2018'!$B$4:$B$23,'2017-2018'!AI$4:AI$23)</f>
        <v>17</v>
      </c>
      <c r="AI60">
        <f>_xlfn.XLOOKUP($A60,'2017-2018'!$B$4:$B$23,'2017-2018'!AJ$4:AJ$23)</f>
        <v>192.45</v>
      </c>
      <c r="AJ60">
        <f>_xlfn.XLOOKUP($A60,'2017-2018'!$B$4:$B$23,'2017-2018'!AK$4:AK$23)</f>
        <v>45</v>
      </c>
      <c r="AK60">
        <f>_xlfn.XLOOKUP($A60,'2017-2018'!$B$4:$B$23,'2017-2018'!AL$4:AL$23)</f>
        <v>4.2766666666666664</v>
      </c>
      <c r="AL60">
        <f>_xlfn.XLOOKUP($A60,'2017-2018'!$B$4:$B$23,'2017-2018'!AM$4:AM$23)</f>
        <v>29280</v>
      </c>
      <c r="AM60">
        <f>_xlfn.XLOOKUP($A60,'2017-2018'!$B$4:$B$23,'2017-2018'!AN$4:AN$23)</f>
        <v>0.13</v>
      </c>
      <c r="AN60">
        <f>_xlfn.XLOOKUP($A60,'2017-2018'!$B$4:$B$23,'2017-2018'!AO$4:AO$23)</f>
        <v>0</v>
      </c>
      <c r="AO60">
        <f>_xlfn.XLOOKUP($A60,'2017-2018'!$B$4:$B$23,'2017-2018'!AP$4:AP$23)</f>
        <v>0</v>
      </c>
      <c r="AP60">
        <f>_xlfn.XLOOKUP($A60,'2017-2018'!$B$4:$B$23,'2017-2018'!AQ$4:AQ$23)</f>
        <v>0</v>
      </c>
      <c r="AQ60">
        <f>_xlfn.XLOOKUP($A60,'2017-2018'!$B$4:$B$23,'2017-2018'!AR$4:AR$23)</f>
        <v>1</v>
      </c>
      <c r="AR60">
        <f>_xlfn.XLOOKUP($A60,'2017-2018'!$B$4:$B$23,'2017-2018'!AS$4:AS$23)</f>
        <v>0</v>
      </c>
      <c r="AS60" t="str">
        <f>_xlfn.XLOOKUP($A60,'2017-2018'!$B$4:$B$23,'2017-2018'!AT$4:AT$23)</f>
        <v>17/18</v>
      </c>
    </row>
    <row r="61" spans="1:45" x14ac:dyDescent="0.25">
      <c r="A61">
        <v>20</v>
      </c>
      <c r="B61" t="str">
        <f>_xlfn.XLOOKUP($A61,'2017-2018'!$B$4:$B$23,'2017-2018'!C$4:C$23)</f>
        <v>West Bromwich Albion</v>
      </c>
      <c r="C61">
        <f>_xlfn.XLOOKUP($A61,'2017-2018'!$B$4:$B$23,'2017-2018'!D$4:D$23)</f>
        <v>31</v>
      </c>
      <c r="D61">
        <f>_xlfn.XLOOKUP($A61,'2017-2018'!$B$4:$B$23,'2017-2018'!E$4:E$23)</f>
        <v>56</v>
      </c>
      <c r="E61">
        <f>_xlfn.XLOOKUP($A61,'2017-2018'!$B$4:$B$23,'2017-2018'!F$4:F$23)</f>
        <v>-25</v>
      </c>
      <c r="F61">
        <f>_xlfn.XLOOKUP($A61,'2017-2018'!$B$4:$B$23,'2017-2018'!G$4:G$23)</f>
        <v>10</v>
      </c>
      <c r="G61">
        <f>_xlfn.XLOOKUP($A61,'2017-2018'!$B$4:$B$23,'2017-2018'!H$4:H$23)</f>
        <v>73</v>
      </c>
      <c r="H61">
        <f>_xlfn.XLOOKUP($A61,'2017-2018'!$B$4:$B$23,'2017-2018'!I$4:I$23)</f>
        <v>1</v>
      </c>
      <c r="I61">
        <f>_xlfn.XLOOKUP($A61,'2017-2018'!$B$4:$B$23,'2017-2018'!J$4:J$23)</f>
        <v>36.5</v>
      </c>
      <c r="J61">
        <f>_xlfn.XLOOKUP($A61,'2017-2018'!$B$4:$B$23,'2017-2018'!K$4:K$23)</f>
        <v>47.9</v>
      </c>
      <c r="K61">
        <f>_xlfn.XLOOKUP($A61,'2017-2018'!$B$4:$B$23,'2017-2018'!L$4:L$23)</f>
        <v>-5.5</v>
      </c>
      <c r="L61">
        <f>_xlfn.XLOOKUP($A61,'2017-2018'!$B$4:$B$23,'2017-2018'!M$4:M$23)</f>
        <v>377</v>
      </c>
      <c r="M61">
        <f>_xlfn.XLOOKUP($A61,'2017-2018'!$B$4:$B$23,'2017-2018'!N$4:N$23)</f>
        <v>377</v>
      </c>
      <c r="N61">
        <f>_xlfn.XLOOKUP($A61,'2017-2018'!$B$4:$B$23,'2017-2018'!O$4:O$23)</f>
        <v>1</v>
      </c>
      <c r="O61">
        <f>_xlfn.XLOOKUP($A61,'2017-2018'!$B$4:$B$23,'2017-2018'!P$4:P$23)</f>
        <v>10</v>
      </c>
      <c r="P61">
        <f>_xlfn.XLOOKUP($A61,'2017-2018'!$B$4:$B$23,'2017-2018'!Q$4:Q$23)</f>
        <v>29</v>
      </c>
      <c r="Q61">
        <f>_xlfn.XLOOKUP($A61,'2017-2018'!$B$4:$B$23,'2017-2018'!R$4:R$23)</f>
        <v>2</v>
      </c>
      <c r="R61">
        <f>_xlfn.XLOOKUP($A61,'2017-2018'!$B$4:$B$23,'2017-2018'!S$4:S$23)</f>
        <v>2</v>
      </c>
      <c r="S61">
        <f>_xlfn.XLOOKUP($A61,'2017-2018'!$B$4:$B$23,'2017-2018'!T$4:T$23)</f>
        <v>79</v>
      </c>
      <c r="T61">
        <f>_xlfn.XLOOKUP($A61,'2017-2018'!$B$4:$B$23,'2017-2018'!U$4:U$23)</f>
        <v>2</v>
      </c>
      <c r="U61">
        <f>_xlfn.XLOOKUP($A61,'2017-2018'!$B$4:$B$23,'2017-2018'!V$4:V$23)</f>
        <v>1</v>
      </c>
      <c r="V61">
        <f>_xlfn.XLOOKUP($A61,'2017-2018'!$B$4:$B$23,'2017-2018'!W$4:W$23)</f>
        <v>100</v>
      </c>
      <c r="W61">
        <f>_xlfn.XLOOKUP($A61,'2017-2018'!$B$4:$B$23,'2017-2018'!X$4:X$23)</f>
        <v>1087</v>
      </c>
      <c r="X61">
        <f>_xlfn.XLOOKUP($A61,'2017-2018'!$B$4:$B$23,'2017-2018'!Y$4:Y$23)</f>
        <v>218</v>
      </c>
      <c r="Y61">
        <f>_xlfn.XLOOKUP($A61,'2017-2018'!$B$4:$B$23,'2017-2018'!Z$4:Z$23)</f>
        <v>440</v>
      </c>
      <c r="Z61">
        <f>_xlfn.XLOOKUP($A61,'2017-2018'!$B$4:$B$23,'2017-2018'!AA$4:AA$23)</f>
        <v>10495</v>
      </c>
      <c r="AA61">
        <f>_xlfn.XLOOKUP($A61,'2017-2018'!$B$4:$B$23,'2017-2018'!AB$4:AB$23)</f>
        <v>34</v>
      </c>
      <c r="AB61">
        <f>_xlfn.XLOOKUP($A61,'2017-2018'!$B$4:$B$23,'2017-2018'!AC$4:AC$23)</f>
        <v>2041</v>
      </c>
      <c r="AC61">
        <f>_xlfn.XLOOKUP($A61,'2017-2018'!$B$4:$B$23,'2017-2018'!AD$4:AD$23)</f>
        <v>784</v>
      </c>
      <c r="AD61">
        <f>_xlfn.XLOOKUP($A61,'2017-2018'!$B$4:$B$23,'2017-2018'!AE$4:AE$23)</f>
        <v>176</v>
      </c>
      <c r="AE61">
        <f>_xlfn.XLOOKUP($A61,'2017-2018'!$B$4:$B$23,'2017-2018'!AF$4:AF$23)</f>
        <v>53.5</v>
      </c>
      <c r="AF61">
        <f>_xlfn.XLOOKUP($A61,'2017-2018'!$B$4:$B$23,'2017-2018'!AG$4:AG$23)</f>
        <v>2.0499999999999998</v>
      </c>
      <c r="AG61">
        <f>_xlfn.XLOOKUP($A61,'2017-2018'!$B$4:$B$23,'2017-2018'!AH$4:AH$23)</f>
        <v>17</v>
      </c>
      <c r="AH61">
        <f>_xlfn.XLOOKUP($A61,'2017-2018'!$B$4:$B$23,'2017-2018'!AI$4:AI$23)</f>
        <v>11</v>
      </c>
      <c r="AI61">
        <f>_xlfn.XLOOKUP($A61,'2017-2018'!$B$4:$B$23,'2017-2018'!AJ$4:AJ$23)</f>
        <v>165.95</v>
      </c>
      <c r="AJ61">
        <f>_xlfn.XLOOKUP($A61,'2017-2018'!$B$4:$B$23,'2017-2018'!AK$4:AK$23)</f>
        <v>33</v>
      </c>
      <c r="AK61">
        <f>_xlfn.XLOOKUP($A61,'2017-2018'!$B$4:$B$23,'2017-2018'!AL$4:AL$23)</f>
        <v>5.0287878787878784</v>
      </c>
      <c r="AL61">
        <f>_xlfn.XLOOKUP($A61,'2017-2018'!$B$4:$B$23,'2017-2018'!AM$4:AM$23)</f>
        <v>24520</v>
      </c>
      <c r="AM61">
        <f>_xlfn.XLOOKUP($A61,'2017-2018'!$B$4:$B$23,'2017-2018'!AN$4:AN$23)</f>
        <v>0.16</v>
      </c>
      <c r="AN61">
        <f>_xlfn.XLOOKUP($A61,'2017-2018'!$B$4:$B$23,'2017-2018'!AO$4:AO$23)</f>
        <v>0</v>
      </c>
      <c r="AO61">
        <f>_xlfn.XLOOKUP($A61,'2017-2018'!$B$4:$B$23,'2017-2018'!AP$4:AP$23)</f>
        <v>0</v>
      </c>
      <c r="AP61">
        <f>_xlfn.XLOOKUP($A61,'2017-2018'!$B$4:$B$23,'2017-2018'!AQ$4:AQ$23)</f>
        <v>0</v>
      </c>
      <c r="AQ61">
        <f>_xlfn.XLOOKUP($A61,'2017-2018'!$B$4:$B$23,'2017-2018'!AR$4:AR$23)</f>
        <v>1</v>
      </c>
      <c r="AR61">
        <f>_xlfn.XLOOKUP($A61,'2017-2018'!$B$4:$B$23,'2017-2018'!AS$4:AS$23)</f>
        <v>0</v>
      </c>
      <c r="AS61" t="str">
        <f>_xlfn.XLOOKUP($A61,'2017-2018'!$B$4:$B$23,'2017-2018'!AT$4:AT$23)</f>
        <v>17/18</v>
      </c>
    </row>
    <row r="62" spans="1:45" x14ac:dyDescent="0.25">
      <c r="A62">
        <v>1</v>
      </c>
      <c r="B62" t="str">
        <f>_xlfn.XLOOKUP($A62,'2018-2019'!$B$4:$B$23,'2018-2019'!C$4:C$23)</f>
        <v>Manchester City</v>
      </c>
      <c r="C62">
        <f>_xlfn.XLOOKUP($A62,'2018-2019'!$B$4:$B$23,'2018-2019'!D$4:D$23)</f>
        <v>95</v>
      </c>
      <c r="D62">
        <f>_xlfn.XLOOKUP($A62,'2018-2019'!$B$4:$B$23,'2018-2019'!E$4:E$23)</f>
        <v>23</v>
      </c>
      <c r="E62">
        <f>_xlfn.XLOOKUP($A62,'2018-2019'!$B$4:$B$23,'2018-2019'!F$4:F$23)</f>
        <v>72</v>
      </c>
      <c r="F62">
        <f>_xlfn.XLOOKUP($A62,'2018-2019'!$B$4:$B$23,'2018-2019'!G$4:G$23)</f>
        <v>20</v>
      </c>
      <c r="G62">
        <f>_xlfn.XLOOKUP($A62,'2018-2019'!$B$4:$B$23,'2018-2019'!H$4:H$23)</f>
        <v>44</v>
      </c>
      <c r="H62">
        <f>_xlfn.XLOOKUP($A62,'2018-2019'!$B$4:$B$23,'2018-2019'!I$4:I$23)</f>
        <v>1</v>
      </c>
      <c r="I62">
        <f>_xlfn.XLOOKUP($A62,'2018-2019'!$B$4:$B$23,'2018-2019'!J$4:J$23)</f>
        <v>84.3</v>
      </c>
      <c r="J62">
        <f>_xlfn.XLOOKUP($A62,'2018-2019'!$B$4:$B$23,'2018-2019'!K$4:K$23)</f>
        <v>24.7</v>
      </c>
      <c r="K62">
        <f>_xlfn.XLOOKUP($A62,'2018-2019'!$B$4:$B$23,'2018-2019'!L$4:L$23)</f>
        <v>10.700000000000003</v>
      </c>
      <c r="L62">
        <f>_xlfn.XLOOKUP($A62,'2018-2019'!$B$4:$B$23,'2018-2019'!M$4:M$23)</f>
        <v>679</v>
      </c>
      <c r="M62">
        <f>_xlfn.XLOOKUP($A62,'2018-2019'!$B$4:$B$23,'2018-2019'!N$4:N$23)</f>
        <v>252</v>
      </c>
      <c r="N62">
        <f>_xlfn.XLOOKUP($A62,'2018-2019'!$B$4:$B$23,'2018-2019'!O$4:O$23)</f>
        <v>3</v>
      </c>
      <c r="O62">
        <f>_xlfn.XLOOKUP($A62,'2018-2019'!$B$4:$B$23,'2018-2019'!P$4:P$23)</f>
        <v>12</v>
      </c>
      <c r="P62">
        <f>_xlfn.XLOOKUP($A62,'2018-2019'!$B$4:$B$23,'2018-2019'!Q$4:Q$23)</f>
        <v>80</v>
      </c>
      <c r="Q62">
        <f>_xlfn.XLOOKUP($A62,'2018-2019'!$B$4:$B$23,'2018-2019'!R$4:R$23)</f>
        <v>15</v>
      </c>
      <c r="R62">
        <f>_xlfn.XLOOKUP($A62,'2018-2019'!$B$4:$B$23,'2018-2019'!S$4:S$23)</f>
        <v>5</v>
      </c>
      <c r="S62">
        <f>_xlfn.XLOOKUP($A62,'2018-2019'!$B$4:$B$23,'2018-2019'!T$4:T$23)</f>
        <v>98</v>
      </c>
      <c r="T62">
        <f>_xlfn.XLOOKUP($A62,'2018-2019'!$B$4:$B$23,'2018-2019'!U$4:U$23)</f>
        <v>0</v>
      </c>
      <c r="U62">
        <f>_xlfn.XLOOKUP($A62,'2018-2019'!$B$4:$B$23,'2018-2019'!V$4:V$23)</f>
        <v>4</v>
      </c>
      <c r="V62">
        <f>_xlfn.XLOOKUP($A62,'2018-2019'!$B$4:$B$23,'2018-2019'!W$4:W$23)</f>
        <v>58</v>
      </c>
      <c r="W62">
        <f>_xlfn.XLOOKUP($A62,'2018-2019'!$B$4:$B$23,'2018-2019'!X$4:X$23)</f>
        <v>570</v>
      </c>
      <c r="X62">
        <f>_xlfn.XLOOKUP($A62,'2018-2019'!$B$4:$B$23,'2018-2019'!Y$4:Y$23)</f>
        <v>518</v>
      </c>
      <c r="Y62">
        <f>_xlfn.XLOOKUP($A62,'2018-2019'!$B$4:$B$23,'2018-2019'!Z$4:Z$23)</f>
        <v>328</v>
      </c>
      <c r="Z62">
        <f>_xlfn.XLOOKUP($A62,'2018-2019'!$B$4:$B$23,'2018-2019'!AA$4:AA$23)</f>
        <v>24678</v>
      </c>
      <c r="AA62">
        <f>_xlfn.XLOOKUP($A62,'2018-2019'!$B$4:$B$23,'2018-2019'!AB$4:AB$23)</f>
        <v>112</v>
      </c>
      <c r="AB62">
        <f>_xlfn.XLOOKUP($A62,'2018-2019'!$B$4:$B$23,'2018-2019'!AC$4:AC$23)</f>
        <v>4240</v>
      </c>
      <c r="AC62">
        <f>_xlfn.XLOOKUP($A62,'2018-2019'!$B$4:$B$23,'2018-2019'!AD$4:AD$23)</f>
        <v>783</v>
      </c>
      <c r="AD62">
        <f>_xlfn.XLOOKUP($A62,'2018-2019'!$B$4:$B$23,'2018-2019'!AE$4:AE$23)</f>
        <v>298</v>
      </c>
      <c r="AE62">
        <f>_xlfn.XLOOKUP($A62,'2018-2019'!$B$4:$B$23,'2018-2019'!AF$4:AF$23)</f>
        <v>78.59</v>
      </c>
      <c r="AF62">
        <f>_xlfn.XLOOKUP($A62,'2018-2019'!$B$4:$B$23,'2018-2019'!AG$4:AG$23)</f>
        <v>57.6</v>
      </c>
      <c r="AG62">
        <f>_xlfn.XLOOKUP($A62,'2018-2019'!$B$4:$B$23,'2018-2019'!AH$4:AH$23)</f>
        <v>19</v>
      </c>
      <c r="AH62">
        <f>_xlfn.XLOOKUP($A62,'2018-2019'!$B$4:$B$23,'2018-2019'!AI$4:AI$23)</f>
        <v>22</v>
      </c>
      <c r="AI62">
        <f>_xlfn.XLOOKUP($A62,'2018-2019'!$B$4:$B$23,'2018-2019'!AJ$4:AJ$23)</f>
        <v>1200</v>
      </c>
      <c r="AJ62">
        <f>_xlfn.XLOOKUP($A62,'2018-2019'!$B$4:$B$23,'2018-2019'!AK$4:AK$23)</f>
        <v>46</v>
      </c>
      <c r="AK62">
        <f>_xlfn.XLOOKUP($A62,'2018-2019'!$B$4:$B$23,'2018-2019'!AL$4:AL$23)</f>
        <v>26.086956521739129</v>
      </c>
      <c r="AL62">
        <f>_xlfn.XLOOKUP($A62,'2018-2019'!$B$4:$B$23,'2018-2019'!AM$4:AM$23)</f>
        <v>54130</v>
      </c>
      <c r="AM62">
        <f>_xlfn.XLOOKUP($A62,'2018-2019'!$B$4:$B$23,'2018-2019'!AN$4:AN$23)</f>
        <v>0.09</v>
      </c>
      <c r="AN62">
        <f>_xlfn.XLOOKUP($A62,'2018-2019'!$B$4:$B$23,'2018-2019'!AO$4:AO$23)</f>
        <v>1</v>
      </c>
      <c r="AO62">
        <f>_xlfn.XLOOKUP($A62,'2018-2019'!$B$4:$B$23,'2018-2019'!AP$4:AP$23)</f>
        <v>0</v>
      </c>
      <c r="AP62">
        <f>_xlfn.XLOOKUP($A62,'2018-2019'!$B$4:$B$23,'2018-2019'!AQ$4:AQ$23)</f>
        <v>1</v>
      </c>
      <c r="AQ62">
        <f>_xlfn.XLOOKUP($A62,'2018-2019'!$B$4:$B$23,'2018-2019'!AR$4:AR$23)</f>
        <v>0</v>
      </c>
      <c r="AR62">
        <f>_xlfn.XLOOKUP($A62,'2018-2019'!$B$4:$B$23,'2018-2019'!AS$4:AS$23)</f>
        <v>1</v>
      </c>
      <c r="AS62" t="str">
        <f>_xlfn.XLOOKUP($A62,'2018-2019'!$B$4:$B$23,'2018-2019'!AT$4:AT$23)</f>
        <v>18/19</v>
      </c>
    </row>
    <row r="63" spans="1:45" x14ac:dyDescent="0.25">
      <c r="A63">
        <v>2</v>
      </c>
      <c r="B63" t="str">
        <f>_xlfn.XLOOKUP($A63,'2018-2019'!$B$4:$B$23,'2018-2019'!C$4:C$23)</f>
        <v>Liverpool</v>
      </c>
      <c r="C63">
        <f>_xlfn.XLOOKUP($A63,'2018-2019'!$B$4:$B$23,'2018-2019'!D$4:D$23)</f>
        <v>89</v>
      </c>
      <c r="D63">
        <f>_xlfn.XLOOKUP($A63,'2018-2019'!$B$4:$B$23,'2018-2019'!E$4:E$23)</f>
        <v>22</v>
      </c>
      <c r="E63">
        <f>_xlfn.XLOOKUP($A63,'2018-2019'!$B$4:$B$23,'2018-2019'!F$4:F$23)</f>
        <v>67</v>
      </c>
      <c r="F63">
        <f>_xlfn.XLOOKUP($A63,'2018-2019'!$B$4:$B$23,'2018-2019'!G$4:G$23)</f>
        <v>21</v>
      </c>
      <c r="G63">
        <f>_xlfn.XLOOKUP($A63,'2018-2019'!$B$4:$B$23,'2018-2019'!H$4:H$23)</f>
        <v>38</v>
      </c>
      <c r="H63">
        <f>_xlfn.XLOOKUP($A63,'2018-2019'!$B$4:$B$23,'2018-2019'!I$4:I$23)</f>
        <v>2</v>
      </c>
      <c r="I63">
        <f>_xlfn.XLOOKUP($A63,'2018-2019'!$B$4:$B$23,'2018-2019'!J$4:J$23)</f>
        <v>73.7</v>
      </c>
      <c r="J63">
        <f>_xlfn.XLOOKUP($A63,'2018-2019'!$B$4:$B$23,'2018-2019'!K$4:K$23)</f>
        <v>28.8</v>
      </c>
      <c r="K63">
        <f>_xlfn.XLOOKUP($A63,'2018-2019'!$B$4:$B$23,'2018-2019'!L$4:L$23)</f>
        <v>15.299999999999997</v>
      </c>
      <c r="L63">
        <f>_xlfn.XLOOKUP($A63,'2018-2019'!$B$4:$B$23,'2018-2019'!M$4:M$23)</f>
        <v>568</v>
      </c>
      <c r="M63">
        <f>_xlfn.XLOOKUP($A63,'2018-2019'!$B$4:$B$23,'2018-2019'!N$4:N$23)</f>
        <v>211</v>
      </c>
      <c r="N63">
        <f>_xlfn.XLOOKUP($A63,'2018-2019'!$B$4:$B$23,'2018-2019'!O$4:O$23)</f>
        <v>7</v>
      </c>
      <c r="O63">
        <f>_xlfn.XLOOKUP($A63,'2018-2019'!$B$4:$B$23,'2018-2019'!P$4:P$23)</f>
        <v>19</v>
      </c>
      <c r="P63">
        <f>_xlfn.XLOOKUP($A63,'2018-2019'!$B$4:$B$23,'2018-2019'!Q$4:Q$23)</f>
        <v>84</v>
      </c>
      <c r="Q63">
        <f>_xlfn.XLOOKUP($A63,'2018-2019'!$B$4:$B$23,'2018-2019'!R$4:R$23)</f>
        <v>5</v>
      </c>
      <c r="R63">
        <f>_xlfn.XLOOKUP($A63,'2018-2019'!$B$4:$B$23,'2018-2019'!S$4:S$23)</f>
        <v>6</v>
      </c>
      <c r="S63">
        <f>_xlfn.XLOOKUP($A63,'2018-2019'!$B$4:$B$23,'2018-2019'!T$4:T$23)</f>
        <v>77</v>
      </c>
      <c r="T63">
        <f>_xlfn.XLOOKUP($A63,'2018-2019'!$B$4:$B$23,'2018-2019'!U$4:U$23)</f>
        <v>0</v>
      </c>
      <c r="U63">
        <f>_xlfn.XLOOKUP($A63,'2018-2019'!$B$4:$B$23,'2018-2019'!V$4:V$23)</f>
        <v>1</v>
      </c>
      <c r="V63">
        <f>_xlfn.XLOOKUP($A63,'2018-2019'!$B$4:$B$23,'2018-2019'!W$4:W$23)</f>
        <v>74</v>
      </c>
      <c r="W63">
        <f>_xlfn.XLOOKUP($A63,'2018-2019'!$B$4:$B$23,'2018-2019'!X$4:X$23)</f>
        <v>670</v>
      </c>
      <c r="X63">
        <f>_xlfn.XLOOKUP($A63,'2018-2019'!$B$4:$B$23,'2018-2019'!Y$4:Y$23)</f>
        <v>613</v>
      </c>
      <c r="Y63">
        <f>_xlfn.XLOOKUP($A63,'2018-2019'!$B$4:$B$23,'2018-2019'!Z$4:Z$23)</f>
        <v>315</v>
      </c>
      <c r="Z63">
        <f>_xlfn.XLOOKUP($A63,'2018-2019'!$B$4:$B$23,'2018-2019'!AA$4:AA$23)</f>
        <v>21146</v>
      </c>
      <c r="AA63">
        <f>_xlfn.XLOOKUP($A63,'2018-2019'!$B$4:$B$23,'2018-2019'!AB$4:AB$23)</f>
        <v>98</v>
      </c>
      <c r="AB63">
        <f>_xlfn.XLOOKUP($A63,'2018-2019'!$B$4:$B$23,'2018-2019'!AC$4:AC$23)</f>
        <v>3416</v>
      </c>
      <c r="AC63">
        <f>_xlfn.XLOOKUP($A63,'2018-2019'!$B$4:$B$23,'2018-2019'!AD$4:AD$23)</f>
        <v>721</v>
      </c>
      <c r="AD63">
        <f>_xlfn.XLOOKUP($A63,'2018-2019'!$B$4:$B$23,'2018-2019'!AE$4:AE$23)</f>
        <v>249</v>
      </c>
      <c r="AE63">
        <f>_xlfn.XLOOKUP($A63,'2018-2019'!$B$4:$B$23,'2018-2019'!AF$4:AF$23)</f>
        <v>182.2</v>
      </c>
      <c r="AF63">
        <f>_xlfn.XLOOKUP($A63,'2018-2019'!$B$4:$B$23,'2018-2019'!AG$4:AG$23)</f>
        <v>41.32</v>
      </c>
      <c r="AG63">
        <f>_xlfn.XLOOKUP($A63,'2018-2019'!$B$4:$B$23,'2018-2019'!AH$4:AH$23)</f>
        <v>18</v>
      </c>
      <c r="AH63">
        <f>_xlfn.XLOOKUP($A63,'2018-2019'!$B$4:$B$23,'2018-2019'!AI$4:AI$23)</f>
        <v>21</v>
      </c>
      <c r="AI63">
        <f>_xlfn.XLOOKUP($A63,'2018-2019'!$B$4:$B$23,'2018-2019'!AJ$4:AJ$23)</f>
        <v>1170</v>
      </c>
      <c r="AJ63">
        <f>_xlfn.XLOOKUP($A63,'2018-2019'!$B$4:$B$23,'2018-2019'!AK$4:AK$23)</f>
        <v>39</v>
      </c>
      <c r="AK63">
        <f>_xlfn.XLOOKUP($A63,'2018-2019'!$B$4:$B$23,'2018-2019'!AL$4:AL$23)</f>
        <v>30</v>
      </c>
      <c r="AL63">
        <f>_xlfn.XLOOKUP($A63,'2018-2019'!$B$4:$B$23,'2018-2019'!AM$4:AM$23)</f>
        <v>52983</v>
      </c>
      <c r="AM63">
        <f>_xlfn.XLOOKUP($A63,'2018-2019'!$B$4:$B$23,'2018-2019'!AN$4:AN$23)</f>
        <v>0.17</v>
      </c>
      <c r="AN63">
        <f>_xlfn.XLOOKUP($A63,'2018-2019'!$B$4:$B$23,'2018-2019'!AO$4:AO$23)</f>
        <v>1</v>
      </c>
      <c r="AO63">
        <f>_xlfn.XLOOKUP($A63,'2018-2019'!$B$4:$B$23,'2018-2019'!AP$4:AP$23)</f>
        <v>0</v>
      </c>
      <c r="AP63">
        <f>_xlfn.XLOOKUP($A63,'2018-2019'!$B$4:$B$23,'2018-2019'!AQ$4:AQ$23)</f>
        <v>1</v>
      </c>
      <c r="AQ63">
        <f>_xlfn.XLOOKUP($A63,'2018-2019'!$B$4:$B$23,'2018-2019'!AR$4:AR$23)</f>
        <v>0</v>
      </c>
      <c r="AR63">
        <f>_xlfn.XLOOKUP($A63,'2018-2019'!$B$4:$B$23,'2018-2019'!AS$4:AS$23)</f>
        <v>1</v>
      </c>
      <c r="AS63" t="str">
        <f>_xlfn.XLOOKUP($A63,'2018-2019'!$B$4:$B$23,'2018-2019'!AT$4:AT$23)</f>
        <v>18/19</v>
      </c>
    </row>
    <row r="64" spans="1:45" x14ac:dyDescent="0.25">
      <c r="A64">
        <v>3</v>
      </c>
      <c r="B64" t="str">
        <f>_xlfn.XLOOKUP($A64,'2018-2019'!$B$4:$B$23,'2018-2019'!C$4:C$23)</f>
        <v>Chelsea</v>
      </c>
      <c r="C64">
        <f>_xlfn.XLOOKUP($A64,'2018-2019'!$B$4:$B$23,'2018-2019'!D$4:D$23)</f>
        <v>63</v>
      </c>
      <c r="D64">
        <f>_xlfn.XLOOKUP($A64,'2018-2019'!$B$4:$B$23,'2018-2019'!E$4:E$23)</f>
        <v>39</v>
      </c>
      <c r="E64">
        <f>_xlfn.XLOOKUP($A64,'2018-2019'!$B$4:$B$23,'2018-2019'!F$4:F$23)</f>
        <v>24</v>
      </c>
      <c r="F64">
        <f>_xlfn.XLOOKUP($A64,'2018-2019'!$B$4:$B$23,'2018-2019'!G$4:G$23)</f>
        <v>16</v>
      </c>
      <c r="G64">
        <f>_xlfn.XLOOKUP($A64,'2018-2019'!$B$4:$B$23,'2018-2019'!H$4:H$23)</f>
        <v>49</v>
      </c>
      <c r="H64">
        <f>_xlfn.XLOOKUP($A64,'2018-2019'!$B$4:$B$23,'2018-2019'!I$4:I$23)</f>
        <v>0</v>
      </c>
      <c r="I64">
        <f>_xlfn.XLOOKUP($A64,'2018-2019'!$B$4:$B$23,'2018-2019'!J$4:J$23)</f>
        <v>58.6</v>
      </c>
      <c r="J64">
        <f>_xlfn.XLOOKUP($A64,'2018-2019'!$B$4:$B$23,'2018-2019'!K$4:K$23)</f>
        <v>36.4</v>
      </c>
      <c r="K64">
        <f>_xlfn.XLOOKUP($A64,'2018-2019'!$B$4:$B$23,'2018-2019'!L$4:L$23)</f>
        <v>4.3999999999999986</v>
      </c>
      <c r="L64">
        <f>_xlfn.XLOOKUP($A64,'2018-2019'!$B$4:$B$23,'2018-2019'!M$4:M$23)</f>
        <v>602</v>
      </c>
      <c r="M64">
        <f>_xlfn.XLOOKUP($A64,'2018-2019'!$B$4:$B$23,'2018-2019'!N$4:N$23)</f>
        <v>192</v>
      </c>
      <c r="N64">
        <f>_xlfn.XLOOKUP($A64,'2018-2019'!$B$4:$B$23,'2018-2019'!O$4:O$23)</f>
        <v>5</v>
      </c>
      <c r="O64">
        <f>_xlfn.XLOOKUP($A64,'2018-2019'!$B$4:$B$23,'2018-2019'!P$4:P$23)</f>
        <v>8</v>
      </c>
      <c r="P64">
        <f>_xlfn.XLOOKUP($A64,'2018-2019'!$B$4:$B$23,'2018-2019'!Q$4:Q$23)</f>
        <v>54</v>
      </c>
      <c r="Q64">
        <f>_xlfn.XLOOKUP($A64,'2018-2019'!$B$4:$B$23,'2018-2019'!R$4:R$23)</f>
        <v>9</v>
      </c>
      <c r="R64">
        <f>_xlfn.XLOOKUP($A64,'2018-2019'!$B$4:$B$23,'2018-2019'!S$4:S$23)</f>
        <v>1</v>
      </c>
      <c r="S64">
        <f>_xlfn.XLOOKUP($A64,'2018-2019'!$B$4:$B$23,'2018-2019'!T$4:T$23)</f>
        <v>83</v>
      </c>
      <c r="T64">
        <f>_xlfn.XLOOKUP($A64,'2018-2019'!$B$4:$B$23,'2018-2019'!U$4:U$23)</f>
        <v>0</v>
      </c>
      <c r="U64">
        <f>_xlfn.XLOOKUP($A64,'2018-2019'!$B$4:$B$23,'2018-2019'!V$4:V$23)</f>
        <v>2</v>
      </c>
      <c r="V64">
        <f>_xlfn.XLOOKUP($A64,'2018-2019'!$B$4:$B$23,'2018-2019'!W$4:W$23)</f>
        <v>84</v>
      </c>
      <c r="W64">
        <f>_xlfn.XLOOKUP($A64,'2018-2019'!$B$4:$B$23,'2018-2019'!X$4:X$23)</f>
        <v>645</v>
      </c>
      <c r="X64">
        <f>_xlfn.XLOOKUP($A64,'2018-2019'!$B$4:$B$23,'2018-2019'!Y$4:Y$23)</f>
        <v>618</v>
      </c>
      <c r="Y64">
        <f>_xlfn.XLOOKUP($A64,'2018-2019'!$B$4:$B$23,'2018-2019'!Z$4:Z$23)</f>
        <v>339</v>
      </c>
      <c r="Z64">
        <f>_xlfn.XLOOKUP($A64,'2018-2019'!$B$4:$B$23,'2018-2019'!AA$4:AA$23)</f>
        <v>22960</v>
      </c>
      <c r="AA64">
        <f>_xlfn.XLOOKUP($A64,'2018-2019'!$B$4:$B$23,'2018-2019'!AB$4:AB$23)</f>
        <v>146</v>
      </c>
      <c r="AB64">
        <f>_xlfn.XLOOKUP($A64,'2018-2019'!$B$4:$B$23,'2018-2019'!AC$4:AC$23)</f>
        <v>3874</v>
      </c>
      <c r="AC64">
        <f>_xlfn.XLOOKUP($A64,'2018-2019'!$B$4:$B$23,'2018-2019'!AD$4:AD$23)</f>
        <v>692</v>
      </c>
      <c r="AD64">
        <f>_xlfn.XLOOKUP($A64,'2018-2019'!$B$4:$B$23,'2018-2019'!AE$4:AE$23)</f>
        <v>215</v>
      </c>
      <c r="AE64">
        <f>_xlfn.XLOOKUP($A64,'2018-2019'!$B$4:$B$23,'2018-2019'!AF$4:AF$23)</f>
        <v>208.8</v>
      </c>
      <c r="AF64">
        <f>_xlfn.XLOOKUP($A64,'2018-2019'!$B$4:$B$23,'2018-2019'!AG$4:AG$23)</f>
        <v>83.25</v>
      </c>
      <c r="AG64">
        <f>_xlfn.XLOOKUP($A64,'2018-2019'!$B$4:$B$23,'2018-2019'!AH$4:AH$23)</f>
        <v>30</v>
      </c>
      <c r="AH64">
        <f>_xlfn.XLOOKUP($A64,'2018-2019'!$B$4:$B$23,'2018-2019'!AI$4:AI$23)</f>
        <v>31</v>
      </c>
      <c r="AI64">
        <f>_xlfn.XLOOKUP($A64,'2018-2019'!$B$4:$B$23,'2018-2019'!AJ$4:AJ$23)</f>
        <v>1170</v>
      </c>
      <c r="AJ64">
        <f>_xlfn.XLOOKUP($A64,'2018-2019'!$B$4:$B$23,'2018-2019'!AK$4:AK$23)</f>
        <v>54</v>
      </c>
      <c r="AK64">
        <f>_xlfn.XLOOKUP($A64,'2018-2019'!$B$4:$B$23,'2018-2019'!AL$4:AL$23)</f>
        <v>21.666666666666668</v>
      </c>
      <c r="AL64">
        <f>_xlfn.XLOOKUP($A64,'2018-2019'!$B$4:$B$23,'2018-2019'!AM$4:AM$23)</f>
        <v>40437</v>
      </c>
      <c r="AM64">
        <f>_xlfn.XLOOKUP($A64,'2018-2019'!$B$4:$B$23,'2018-2019'!AN$4:AN$23)</f>
        <v>0.31</v>
      </c>
      <c r="AN64">
        <f>_xlfn.XLOOKUP($A64,'2018-2019'!$B$4:$B$23,'2018-2019'!AO$4:AO$23)</f>
        <v>1</v>
      </c>
      <c r="AO64">
        <f>_xlfn.XLOOKUP($A64,'2018-2019'!$B$4:$B$23,'2018-2019'!AP$4:AP$23)</f>
        <v>0</v>
      </c>
      <c r="AP64">
        <f>_xlfn.XLOOKUP($A64,'2018-2019'!$B$4:$B$23,'2018-2019'!AQ$4:AQ$23)</f>
        <v>1</v>
      </c>
      <c r="AQ64">
        <f>_xlfn.XLOOKUP($A64,'2018-2019'!$B$4:$B$23,'2018-2019'!AR$4:AR$23)</f>
        <v>0</v>
      </c>
      <c r="AR64">
        <f>_xlfn.XLOOKUP($A64,'2018-2019'!$B$4:$B$23,'2018-2019'!AS$4:AS$23)</f>
        <v>1</v>
      </c>
      <c r="AS64" t="str">
        <f>_xlfn.XLOOKUP($A64,'2018-2019'!$B$4:$B$23,'2018-2019'!AT$4:AT$23)</f>
        <v>18/19</v>
      </c>
    </row>
    <row r="65" spans="1:45" x14ac:dyDescent="0.25">
      <c r="A65">
        <v>4</v>
      </c>
      <c r="B65" t="str">
        <f>_xlfn.XLOOKUP($A65,'2018-2019'!$B$4:$B$23,'2018-2019'!C$4:C$23)</f>
        <v>Tottenham Hotspur</v>
      </c>
      <c r="C65">
        <f>_xlfn.XLOOKUP($A65,'2018-2019'!$B$4:$B$23,'2018-2019'!D$4:D$23)</f>
        <v>67</v>
      </c>
      <c r="D65">
        <f>_xlfn.XLOOKUP($A65,'2018-2019'!$B$4:$B$23,'2018-2019'!E$4:E$23)</f>
        <v>39</v>
      </c>
      <c r="E65">
        <f>_xlfn.XLOOKUP($A65,'2018-2019'!$B$4:$B$23,'2018-2019'!F$4:F$23)</f>
        <v>28</v>
      </c>
      <c r="F65">
        <f>_xlfn.XLOOKUP($A65,'2018-2019'!$B$4:$B$23,'2018-2019'!G$4:G$23)</f>
        <v>13</v>
      </c>
      <c r="G65">
        <f>_xlfn.XLOOKUP($A65,'2018-2019'!$B$4:$B$23,'2018-2019'!H$4:H$23)</f>
        <v>56</v>
      </c>
      <c r="H65">
        <f>_xlfn.XLOOKUP($A65,'2018-2019'!$B$4:$B$23,'2018-2019'!I$4:I$23)</f>
        <v>3</v>
      </c>
      <c r="I65">
        <f>_xlfn.XLOOKUP($A65,'2018-2019'!$B$4:$B$23,'2018-2019'!J$4:J$23)</f>
        <v>54.9</v>
      </c>
      <c r="J65">
        <f>_xlfn.XLOOKUP($A65,'2018-2019'!$B$4:$B$23,'2018-2019'!K$4:K$23)</f>
        <v>47.1</v>
      </c>
      <c r="K65">
        <f>_xlfn.XLOOKUP($A65,'2018-2019'!$B$4:$B$23,'2018-2019'!L$4:L$23)</f>
        <v>12.100000000000001</v>
      </c>
      <c r="L65">
        <f>_xlfn.XLOOKUP($A65,'2018-2019'!$B$4:$B$23,'2018-2019'!M$4:M$23)</f>
        <v>533</v>
      </c>
      <c r="M65">
        <f>_xlfn.XLOOKUP($A65,'2018-2019'!$B$4:$B$23,'2018-2019'!N$4:N$23)</f>
        <v>182</v>
      </c>
      <c r="N65">
        <f>_xlfn.XLOOKUP($A65,'2018-2019'!$B$4:$B$23,'2018-2019'!O$4:O$23)</f>
        <v>4</v>
      </c>
      <c r="O65">
        <f>_xlfn.XLOOKUP($A65,'2018-2019'!$B$4:$B$23,'2018-2019'!P$4:P$23)</f>
        <v>14</v>
      </c>
      <c r="P65">
        <f>_xlfn.XLOOKUP($A65,'2018-2019'!$B$4:$B$23,'2018-2019'!Q$4:Q$23)</f>
        <v>53</v>
      </c>
      <c r="Q65">
        <f>_xlfn.XLOOKUP($A65,'2018-2019'!$B$4:$B$23,'2018-2019'!R$4:R$23)</f>
        <v>14</v>
      </c>
      <c r="R65">
        <f>_xlfn.XLOOKUP($A65,'2018-2019'!$B$4:$B$23,'2018-2019'!S$4:S$23)</f>
        <v>5</v>
      </c>
      <c r="S65">
        <f>_xlfn.XLOOKUP($A65,'2018-2019'!$B$4:$B$23,'2018-2019'!T$4:T$23)</f>
        <v>74</v>
      </c>
      <c r="T65">
        <f>_xlfn.XLOOKUP($A65,'2018-2019'!$B$4:$B$23,'2018-2019'!U$4:U$23)</f>
        <v>3</v>
      </c>
      <c r="U65">
        <f>_xlfn.XLOOKUP($A65,'2018-2019'!$B$4:$B$23,'2018-2019'!V$4:V$23)</f>
        <v>5</v>
      </c>
      <c r="V65">
        <f>_xlfn.XLOOKUP($A65,'2018-2019'!$B$4:$B$23,'2018-2019'!W$4:W$23)</f>
        <v>118</v>
      </c>
      <c r="W65">
        <f>_xlfn.XLOOKUP($A65,'2018-2019'!$B$4:$B$23,'2018-2019'!X$4:X$23)</f>
        <v>823</v>
      </c>
      <c r="X65">
        <f>_xlfn.XLOOKUP($A65,'2018-2019'!$B$4:$B$23,'2018-2019'!Y$4:Y$23)</f>
        <v>627</v>
      </c>
      <c r="Y65">
        <f>_xlfn.XLOOKUP($A65,'2018-2019'!$B$4:$B$23,'2018-2019'!Z$4:Z$23)</f>
        <v>376</v>
      </c>
      <c r="Z65">
        <f>_xlfn.XLOOKUP($A65,'2018-2019'!$B$4:$B$23,'2018-2019'!AA$4:AA$23)</f>
        <v>18808</v>
      </c>
      <c r="AA65">
        <f>_xlfn.XLOOKUP($A65,'2018-2019'!$B$4:$B$23,'2018-2019'!AB$4:AB$23)</f>
        <v>87</v>
      </c>
      <c r="AB65">
        <f>_xlfn.XLOOKUP($A65,'2018-2019'!$B$4:$B$23,'2018-2019'!AC$4:AC$23)</f>
        <v>3191</v>
      </c>
      <c r="AC65">
        <f>_xlfn.XLOOKUP($A65,'2018-2019'!$B$4:$B$23,'2018-2019'!AD$4:AD$23)</f>
        <v>643</v>
      </c>
      <c r="AD65">
        <f>_xlfn.XLOOKUP($A65,'2018-2019'!$B$4:$B$23,'2018-2019'!AE$4:AE$23)</f>
        <v>194</v>
      </c>
      <c r="AE65">
        <f>_xlfn.XLOOKUP($A65,'2018-2019'!$B$4:$B$23,'2018-2019'!AF$4:AF$23)</f>
        <v>0</v>
      </c>
      <c r="AF65">
        <f>_xlfn.XLOOKUP($A65,'2018-2019'!$B$4:$B$23,'2018-2019'!AG$4:AG$23)</f>
        <v>5.35</v>
      </c>
      <c r="AG65">
        <f>_xlfn.XLOOKUP($A65,'2018-2019'!$B$4:$B$23,'2018-2019'!AH$4:AH$23)</f>
        <v>4</v>
      </c>
      <c r="AH65">
        <f>_xlfn.XLOOKUP($A65,'2018-2019'!$B$4:$B$23,'2018-2019'!AI$4:AI$23)</f>
        <v>4</v>
      </c>
      <c r="AI65">
        <f>_xlfn.XLOOKUP($A65,'2018-2019'!$B$4:$B$23,'2018-2019'!AJ$4:AJ$23)</f>
        <v>898.6</v>
      </c>
      <c r="AJ65">
        <f>_xlfn.XLOOKUP($A65,'2018-2019'!$B$4:$B$23,'2018-2019'!AK$4:AK$23)</f>
        <v>34</v>
      </c>
      <c r="AK65">
        <f>_xlfn.XLOOKUP($A65,'2018-2019'!$B$4:$B$23,'2018-2019'!AL$4:AL$23)</f>
        <v>26.429411764705883</v>
      </c>
      <c r="AL65">
        <f>_xlfn.XLOOKUP($A65,'2018-2019'!$B$4:$B$23,'2018-2019'!AM$4:AM$23)</f>
        <v>54216</v>
      </c>
      <c r="AM65">
        <f>_xlfn.XLOOKUP($A65,'2018-2019'!$B$4:$B$23,'2018-2019'!AN$4:AN$23)</f>
        <v>0.1</v>
      </c>
      <c r="AN65">
        <f>_xlfn.XLOOKUP($A65,'2018-2019'!$B$4:$B$23,'2018-2019'!AO$4:AO$23)</f>
        <v>1</v>
      </c>
      <c r="AO65">
        <f>_xlfn.XLOOKUP($A65,'2018-2019'!$B$4:$B$23,'2018-2019'!AP$4:AP$23)</f>
        <v>0</v>
      </c>
      <c r="AP65">
        <f>_xlfn.XLOOKUP($A65,'2018-2019'!$B$4:$B$23,'2018-2019'!AQ$4:AQ$23)</f>
        <v>1</v>
      </c>
      <c r="AQ65">
        <f>_xlfn.XLOOKUP($A65,'2018-2019'!$B$4:$B$23,'2018-2019'!AR$4:AR$23)</f>
        <v>0</v>
      </c>
      <c r="AR65">
        <f>_xlfn.XLOOKUP($A65,'2018-2019'!$B$4:$B$23,'2018-2019'!AS$4:AS$23)</f>
        <v>1</v>
      </c>
      <c r="AS65" t="str">
        <f>_xlfn.XLOOKUP($A65,'2018-2019'!$B$4:$B$23,'2018-2019'!AT$4:AT$23)</f>
        <v>18/19</v>
      </c>
    </row>
    <row r="66" spans="1:45" x14ac:dyDescent="0.25">
      <c r="A66">
        <v>5</v>
      </c>
      <c r="B66" t="str">
        <f>_xlfn.XLOOKUP($A66,'2018-2019'!$B$4:$B$23,'2018-2019'!C$4:C$23)</f>
        <v>Arsenal</v>
      </c>
      <c r="C66">
        <f>_xlfn.XLOOKUP($A66,'2018-2019'!$B$4:$B$23,'2018-2019'!D$4:D$23)</f>
        <v>73</v>
      </c>
      <c r="D66">
        <f>_xlfn.XLOOKUP($A66,'2018-2019'!$B$4:$B$23,'2018-2019'!E$4:E$23)</f>
        <v>51</v>
      </c>
      <c r="E66">
        <f>_xlfn.XLOOKUP($A66,'2018-2019'!$B$4:$B$23,'2018-2019'!F$4:F$23)</f>
        <v>22</v>
      </c>
      <c r="F66">
        <f>_xlfn.XLOOKUP($A66,'2018-2019'!$B$4:$B$23,'2018-2019'!G$4:G$23)</f>
        <v>8</v>
      </c>
      <c r="G66">
        <f>_xlfn.XLOOKUP($A66,'2018-2019'!$B$4:$B$23,'2018-2019'!H$4:H$23)</f>
        <v>72</v>
      </c>
      <c r="H66">
        <f>_xlfn.XLOOKUP($A66,'2018-2019'!$B$4:$B$23,'2018-2019'!I$4:I$23)</f>
        <v>2</v>
      </c>
      <c r="I66">
        <f>_xlfn.XLOOKUP($A66,'2018-2019'!$B$4:$B$23,'2018-2019'!J$4:J$23)</f>
        <v>60.1</v>
      </c>
      <c r="J66">
        <f>_xlfn.XLOOKUP($A66,'2018-2019'!$B$4:$B$23,'2018-2019'!K$4:K$23)</f>
        <v>54.2</v>
      </c>
      <c r="K66">
        <f>_xlfn.XLOOKUP($A66,'2018-2019'!$B$4:$B$23,'2018-2019'!L$4:L$23)</f>
        <v>12.899999999999999</v>
      </c>
      <c r="L66">
        <f>_xlfn.XLOOKUP($A66,'2018-2019'!$B$4:$B$23,'2018-2019'!M$4:M$23)</f>
        <v>462</v>
      </c>
      <c r="M66">
        <f>_xlfn.XLOOKUP($A66,'2018-2019'!$B$4:$B$23,'2018-2019'!N$4:N$23)</f>
        <v>159</v>
      </c>
      <c r="N66">
        <f>_xlfn.XLOOKUP($A66,'2018-2019'!$B$4:$B$23,'2018-2019'!O$4:O$23)</f>
        <v>4</v>
      </c>
      <c r="O66">
        <f>_xlfn.XLOOKUP($A66,'2018-2019'!$B$4:$B$23,'2018-2019'!P$4:P$23)</f>
        <v>5</v>
      </c>
      <c r="P66">
        <f>_xlfn.XLOOKUP($A66,'2018-2019'!$B$4:$B$23,'2018-2019'!Q$4:Q$23)</f>
        <v>62</v>
      </c>
      <c r="Q66">
        <f>_xlfn.XLOOKUP($A66,'2018-2019'!$B$4:$B$23,'2018-2019'!R$4:R$23)</f>
        <v>11</v>
      </c>
      <c r="R66">
        <f>_xlfn.XLOOKUP($A66,'2018-2019'!$B$4:$B$23,'2018-2019'!S$4:S$23)</f>
        <v>3</v>
      </c>
      <c r="S66">
        <f>_xlfn.XLOOKUP($A66,'2018-2019'!$B$4:$B$23,'2018-2019'!T$4:T$23)</f>
        <v>89</v>
      </c>
      <c r="T66">
        <f>_xlfn.XLOOKUP($A66,'2018-2019'!$B$4:$B$23,'2018-2019'!U$4:U$23)</f>
        <v>1</v>
      </c>
      <c r="U66">
        <f>_xlfn.XLOOKUP($A66,'2018-2019'!$B$4:$B$23,'2018-2019'!V$4:V$23)</f>
        <v>7</v>
      </c>
      <c r="V66">
        <f>_xlfn.XLOOKUP($A66,'2018-2019'!$B$4:$B$23,'2018-2019'!W$4:W$23)</f>
        <v>132</v>
      </c>
      <c r="W66">
        <f>_xlfn.XLOOKUP($A66,'2018-2019'!$B$4:$B$23,'2018-2019'!X$4:X$23)</f>
        <v>798</v>
      </c>
      <c r="X66">
        <f>_xlfn.XLOOKUP($A66,'2018-2019'!$B$4:$B$23,'2018-2019'!Y$4:Y$23)</f>
        <v>609</v>
      </c>
      <c r="Y66">
        <f>_xlfn.XLOOKUP($A66,'2018-2019'!$B$4:$B$23,'2018-2019'!Z$4:Z$23)</f>
        <v>412</v>
      </c>
      <c r="Z66">
        <f>_xlfn.XLOOKUP($A66,'2018-2019'!$B$4:$B$23,'2018-2019'!AA$4:AA$23)</f>
        <v>18425</v>
      </c>
      <c r="AA66">
        <f>_xlfn.XLOOKUP($A66,'2018-2019'!$B$4:$B$23,'2018-2019'!AB$4:AB$23)</f>
        <v>65</v>
      </c>
      <c r="AB66">
        <f>_xlfn.XLOOKUP($A66,'2018-2019'!$B$4:$B$23,'2018-2019'!AC$4:AC$23)</f>
        <v>3102</v>
      </c>
      <c r="AC66">
        <f>_xlfn.XLOOKUP($A66,'2018-2019'!$B$4:$B$23,'2018-2019'!AD$4:AD$23)</f>
        <v>605</v>
      </c>
      <c r="AD66">
        <f>_xlfn.XLOOKUP($A66,'2018-2019'!$B$4:$B$23,'2018-2019'!AE$4:AE$23)</f>
        <v>209</v>
      </c>
      <c r="AE66">
        <f>_xlfn.XLOOKUP($A66,'2018-2019'!$B$4:$B$23,'2018-2019'!AF$4:AF$23)</f>
        <v>80.150000000000006</v>
      </c>
      <c r="AF66">
        <f>_xlfn.XLOOKUP($A66,'2018-2019'!$B$4:$B$23,'2018-2019'!AG$4:AG$23)</f>
        <v>9.1</v>
      </c>
      <c r="AG66">
        <f>_xlfn.XLOOKUP($A66,'2018-2019'!$B$4:$B$23,'2018-2019'!AH$4:AH$23)</f>
        <v>17</v>
      </c>
      <c r="AH66">
        <f>_xlfn.XLOOKUP($A66,'2018-2019'!$B$4:$B$23,'2018-2019'!AI$4:AI$23)</f>
        <v>12</v>
      </c>
      <c r="AI66">
        <f>_xlfn.XLOOKUP($A66,'2018-2019'!$B$4:$B$23,'2018-2019'!AJ$4:AJ$23)</f>
        <v>659.05</v>
      </c>
      <c r="AJ66">
        <f>_xlfn.XLOOKUP($A66,'2018-2019'!$B$4:$B$23,'2018-2019'!AK$4:AK$23)</f>
        <v>42</v>
      </c>
      <c r="AK66">
        <f>_xlfn.XLOOKUP($A66,'2018-2019'!$B$4:$B$23,'2018-2019'!AL$4:AL$23)</f>
        <v>15.691666666666666</v>
      </c>
      <c r="AL66">
        <f>_xlfn.XLOOKUP($A66,'2018-2019'!$B$4:$B$23,'2018-2019'!AM$4:AM$23)</f>
        <v>59899</v>
      </c>
      <c r="AM66">
        <f>_xlfn.XLOOKUP($A66,'2018-2019'!$B$4:$B$23,'2018-2019'!AN$4:AN$23)</f>
        <v>0.26</v>
      </c>
      <c r="AN66">
        <f>_xlfn.XLOOKUP($A66,'2018-2019'!$B$4:$B$23,'2018-2019'!AO$4:AO$23)</f>
        <v>1</v>
      </c>
      <c r="AO66">
        <f>_xlfn.XLOOKUP($A66,'2018-2019'!$B$4:$B$23,'2018-2019'!AP$4:AP$23)</f>
        <v>0</v>
      </c>
      <c r="AP66">
        <f>_xlfn.XLOOKUP($A66,'2018-2019'!$B$4:$B$23,'2018-2019'!AQ$4:AQ$23)</f>
        <v>0</v>
      </c>
      <c r="AQ66">
        <f>_xlfn.XLOOKUP($A66,'2018-2019'!$B$4:$B$23,'2018-2019'!AR$4:AR$23)</f>
        <v>0</v>
      </c>
      <c r="AR66">
        <f>_xlfn.XLOOKUP($A66,'2018-2019'!$B$4:$B$23,'2018-2019'!AS$4:AS$23)</f>
        <v>1</v>
      </c>
      <c r="AS66" t="str">
        <f>_xlfn.XLOOKUP($A66,'2018-2019'!$B$4:$B$23,'2018-2019'!AT$4:AT$23)</f>
        <v>18/19</v>
      </c>
    </row>
    <row r="67" spans="1:45" x14ac:dyDescent="0.25">
      <c r="A67">
        <v>6</v>
      </c>
      <c r="B67" t="str">
        <f>_xlfn.XLOOKUP($A67,'2018-2019'!$B$4:$B$23,'2018-2019'!C$4:C$23)</f>
        <v>Manchester United</v>
      </c>
      <c r="C67">
        <f>_xlfn.XLOOKUP($A67,'2018-2019'!$B$4:$B$23,'2018-2019'!D$4:D$23)</f>
        <v>65</v>
      </c>
      <c r="D67">
        <f>_xlfn.XLOOKUP($A67,'2018-2019'!$B$4:$B$23,'2018-2019'!E$4:E$23)</f>
        <v>54</v>
      </c>
      <c r="E67">
        <f>_xlfn.XLOOKUP($A67,'2018-2019'!$B$4:$B$23,'2018-2019'!F$4:F$23)</f>
        <v>11</v>
      </c>
      <c r="F67">
        <f>_xlfn.XLOOKUP($A67,'2018-2019'!$B$4:$B$23,'2018-2019'!G$4:G$23)</f>
        <v>7</v>
      </c>
      <c r="G67">
        <f>_xlfn.XLOOKUP($A67,'2018-2019'!$B$4:$B$23,'2018-2019'!H$4:H$23)</f>
        <v>73</v>
      </c>
      <c r="H67">
        <f>_xlfn.XLOOKUP($A67,'2018-2019'!$B$4:$B$23,'2018-2019'!I$4:I$23)</f>
        <v>4</v>
      </c>
      <c r="I67">
        <f>_xlfn.XLOOKUP($A67,'2018-2019'!$B$4:$B$23,'2018-2019'!J$4:J$23)</f>
        <v>61.4</v>
      </c>
      <c r="J67">
        <f>_xlfn.XLOOKUP($A67,'2018-2019'!$B$4:$B$23,'2018-2019'!K$4:K$23)</f>
        <v>50.6</v>
      </c>
      <c r="K67">
        <f>_xlfn.XLOOKUP($A67,'2018-2019'!$B$4:$B$23,'2018-2019'!L$4:L$23)</f>
        <v>3.6000000000000014</v>
      </c>
      <c r="L67">
        <f>_xlfn.XLOOKUP($A67,'2018-2019'!$B$4:$B$23,'2018-2019'!M$4:M$23)</f>
        <v>514</v>
      </c>
      <c r="M67">
        <f>_xlfn.XLOOKUP($A67,'2018-2019'!$B$4:$B$23,'2018-2019'!N$4:N$23)</f>
        <v>210</v>
      </c>
      <c r="N67">
        <f>_xlfn.XLOOKUP($A67,'2018-2019'!$B$4:$B$23,'2018-2019'!O$4:O$23)</f>
        <v>9</v>
      </c>
      <c r="O67">
        <f>_xlfn.XLOOKUP($A67,'2018-2019'!$B$4:$B$23,'2018-2019'!P$4:P$23)</f>
        <v>4</v>
      </c>
      <c r="P67">
        <f>_xlfn.XLOOKUP($A67,'2018-2019'!$B$4:$B$23,'2018-2019'!Q$4:Q$23)</f>
        <v>55</v>
      </c>
      <c r="Q67">
        <f>_xlfn.XLOOKUP($A67,'2018-2019'!$B$4:$B$23,'2018-2019'!R$4:R$23)</f>
        <v>10</v>
      </c>
      <c r="R67">
        <f>_xlfn.XLOOKUP($A67,'2018-2019'!$B$4:$B$23,'2018-2019'!S$4:S$23)</f>
        <v>4</v>
      </c>
      <c r="S67">
        <f>_xlfn.XLOOKUP($A67,'2018-2019'!$B$4:$B$23,'2018-2019'!T$4:T$23)</f>
        <v>90</v>
      </c>
      <c r="T67">
        <f>_xlfn.XLOOKUP($A67,'2018-2019'!$B$4:$B$23,'2018-2019'!U$4:U$23)</f>
        <v>3</v>
      </c>
      <c r="U67">
        <f>_xlfn.XLOOKUP($A67,'2018-2019'!$B$4:$B$23,'2018-2019'!V$4:V$23)</f>
        <v>6</v>
      </c>
      <c r="V67">
        <f>_xlfn.XLOOKUP($A67,'2018-2019'!$B$4:$B$23,'2018-2019'!W$4:W$23)</f>
        <v>120</v>
      </c>
      <c r="W67">
        <f>_xlfn.XLOOKUP($A67,'2018-2019'!$B$4:$B$23,'2018-2019'!X$4:X$23)</f>
        <v>847</v>
      </c>
      <c r="X67">
        <f>_xlfn.XLOOKUP($A67,'2018-2019'!$B$4:$B$23,'2018-2019'!Y$4:Y$23)</f>
        <v>581</v>
      </c>
      <c r="Y67">
        <f>_xlfn.XLOOKUP($A67,'2018-2019'!$B$4:$B$23,'2018-2019'!Z$4:Z$23)</f>
        <v>433</v>
      </c>
      <c r="Z67">
        <f>_xlfn.XLOOKUP($A67,'2018-2019'!$B$4:$B$23,'2018-2019'!AA$4:AA$23)</f>
        <v>16834</v>
      </c>
      <c r="AA67">
        <f>_xlfn.XLOOKUP($A67,'2018-2019'!$B$4:$B$23,'2018-2019'!AB$4:AB$23)</f>
        <v>63</v>
      </c>
      <c r="AB67">
        <f>_xlfn.XLOOKUP($A67,'2018-2019'!$B$4:$B$23,'2018-2019'!AC$4:AC$23)</f>
        <v>2634</v>
      </c>
      <c r="AC67">
        <f>_xlfn.XLOOKUP($A67,'2018-2019'!$B$4:$B$23,'2018-2019'!AD$4:AD$23)</f>
        <v>638</v>
      </c>
      <c r="AD67">
        <f>_xlfn.XLOOKUP($A67,'2018-2019'!$B$4:$B$23,'2018-2019'!AE$4:AE$23)</f>
        <v>200</v>
      </c>
      <c r="AE67">
        <f>_xlfn.XLOOKUP($A67,'2018-2019'!$B$4:$B$23,'2018-2019'!AF$4:AF$23)</f>
        <v>82.7</v>
      </c>
      <c r="AF67">
        <f>_xlfn.XLOOKUP($A67,'2018-2019'!$B$4:$B$23,'2018-2019'!AG$4:AG$23)</f>
        <v>30.55</v>
      </c>
      <c r="AG67">
        <f>_xlfn.XLOOKUP($A67,'2018-2019'!$B$4:$B$23,'2018-2019'!AH$4:AH$23)</f>
        <v>9</v>
      </c>
      <c r="AH67">
        <f>_xlfn.XLOOKUP($A67,'2018-2019'!$B$4:$B$23,'2018-2019'!AI$4:AI$23)</f>
        <v>10</v>
      </c>
      <c r="AI67">
        <f>_xlfn.XLOOKUP($A67,'2018-2019'!$B$4:$B$23,'2018-2019'!AJ$4:AJ$23)</f>
        <v>797.6</v>
      </c>
      <c r="AJ67">
        <f>_xlfn.XLOOKUP($A67,'2018-2019'!$B$4:$B$23,'2018-2019'!AK$4:AK$23)</f>
        <v>36</v>
      </c>
      <c r="AK67">
        <f>_xlfn.XLOOKUP($A67,'2018-2019'!$B$4:$B$23,'2018-2019'!AL$4:AL$23)</f>
        <v>22.155555555555555</v>
      </c>
      <c r="AL67">
        <f>_xlfn.XLOOKUP($A67,'2018-2019'!$B$4:$B$23,'2018-2019'!AM$4:AM$23)</f>
        <v>74498</v>
      </c>
      <c r="AM67">
        <f>_xlfn.XLOOKUP($A67,'2018-2019'!$B$4:$B$23,'2018-2019'!AN$4:AN$23)</f>
        <v>0.05</v>
      </c>
      <c r="AN67">
        <f>_xlfn.XLOOKUP($A67,'2018-2019'!$B$4:$B$23,'2018-2019'!AO$4:AO$23)</f>
        <v>1</v>
      </c>
      <c r="AO67">
        <f>_xlfn.XLOOKUP($A67,'2018-2019'!$B$4:$B$23,'2018-2019'!AP$4:AP$23)</f>
        <v>0</v>
      </c>
      <c r="AP67">
        <f>_xlfn.XLOOKUP($A67,'2018-2019'!$B$4:$B$23,'2018-2019'!AQ$4:AQ$23)</f>
        <v>0</v>
      </c>
      <c r="AQ67">
        <f>_xlfn.XLOOKUP($A67,'2018-2019'!$B$4:$B$23,'2018-2019'!AR$4:AR$23)</f>
        <v>0</v>
      </c>
      <c r="AR67">
        <f>_xlfn.XLOOKUP($A67,'2018-2019'!$B$4:$B$23,'2018-2019'!AS$4:AS$23)</f>
        <v>1</v>
      </c>
      <c r="AS67" t="str">
        <f>_xlfn.XLOOKUP($A67,'2018-2019'!$B$4:$B$23,'2018-2019'!AT$4:AT$23)</f>
        <v>18/19</v>
      </c>
    </row>
    <row r="68" spans="1:45" x14ac:dyDescent="0.25">
      <c r="A68">
        <v>7</v>
      </c>
      <c r="B68" t="str">
        <f>_xlfn.XLOOKUP($A68,'2018-2019'!$B$4:$B$23,'2018-2019'!C$4:C$23)</f>
        <v>Wolverhampton Wanderers</v>
      </c>
      <c r="C68">
        <f>_xlfn.XLOOKUP($A68,'2018-2019'!$B$4:$B$23,'2018-2019'!D$4:D$23)</f>
        <v>47</v>
      </c>
      <c r="D68">
        <f>_xlfn.XLOOKUP($A68,'2018-2019'!$B$4:$B$23,'2018-2019'!E$4:E$23)</f>
        <v>46</v>
      </c>
      <c r="E68">
        <f>_xlfn.XLOOKUP($A68,'2018-2019'!$B$4:$B$23,'2018-2019'!F$4:F$23)</f>
        <v>1</v>
      </c>
      <c r="F68">
        <f>_xlfn.XLOOKUP($A68,'2018-2019'!$B$4:$B$23,'2018-2019'!G$4:G$23)</f>
        <v>9</v>
      </c>
      <c r="G68">
        <f>_xlfn.XLOOKUP($A68,'2018-2019'!$B$4:$B$23,'2018-2019'!H$4:H$23)</f>
        <v>72</v>
      </c>
      <c r="H68">
        <f>_xlfn.XLOOKUP($A68,'2018-2019'!$B$4:$B$23,'2018-2019'!I$4:I$23)</f>
        <v>1</v>
      </c>
      <c r="I68">
        <f>_xlfn.XLOOKUP($A68,'2018-2019'!$B$4:$B$23,'2018-2019'!J$4:J$23)</f>
        <v>52.1</v>
      </c>
      <c r="J68">
        <f>_xlfn.XLOOKUP($A68,'2018-2019'!$B$4:$B$23,'2018-2019'!K$4:K$23)</f>
        <v>42.1</v>
      </c>
      <c r="K68">
        <f>_xlfn.XLOOKUP($A68,'2018-2019'!$B$4:$B$23,'2018-2019'!L$4:L$23)</f>
        <v>-5.1000000000000014</v>
      </c>
      <c r="L68">
        <f>_xlfn.XLOOKUP($A68,'2018-2019'!$B$4:$B$23,'2018-2019'!M$4:M$23)</f>
        <v>473</v>
      </c>
      <c r="M68">
        <f>_xlfn.XLOOKUP($A68,'2018-2019'!$B$4:$B$23,'2018-2019'!N$4:N$23)</f>
        <v>144</v>
      </c>
      <c r="N68">
        <f>_xlfn.XLOOKUP($A68,'2018-2019'!$B$4:$B$23,'2018-2019'!O$4:O$23)</f>
        <v>4</v>
      </c>
      <c r="O68">
        <f>_xlfn.XLOOKUP($A68,'2018-2019'!$B$4:$B$23,'2018-2019'!P$4:P$23)</f>
        <v>10</v>
      </c>
      <c r="P68">
        <f>_xlfn.XLOOKUP($A68,'2018-2019'!$B$4:$B$23,'2018-2019'!Q$4:Q$23)</f>
        <v>44</v>
      </c>
      <c r="Q68">
        <f>_xlfn.XLOOKUP($A68,'2018-2019'!$B$4:$B$23,'2018-2019'!R$4:R$23)</f>
        <v>3</v>
      </c>
      <c r="R68">
        <f>_xlfn.XLOOKUP($A68,'2018-2019'!$B$4:$B$23,'2018-2019'!S$4:S$23)</f>
        <v>5</v>
      </c>
      <c r="S68">
        <f>_xlfn.XLOOKUP($A68,'2018-2019'!$B$4:$B$23,'2018-2019'!T$4:T$23)</f>
        <v>73</v>
      </c>
      <c r="T68">
        <f>_xlfn.XLOOKUP($A68,'2018-2019'!$B$4:$B$23,'2018-2019'!U$4:U$23)</f>
        <v>4</v>
      </c>
      <c r="U68">
        <f>_xlfn.XLOOKUP($A68,'2018-2019'!$B$4:$B$23,'2018-2019'!V$4:V$23)</f>
        <v>4</v>
      </c>
      <c r="V68">
        <f>_xlfn.XLOOKUP($A68,'2018-2019'!$B$4:$B$23,'2018-2019'!W$4:W$23)</f>
        <v>99</v>
      </c>
      <c r="W68">
        <f>_xlfn.XLOOKUP($A68,'2018-2019'!$B$4:$B$23,'2018-2019'!X$4:X$23)</f>
        <v>895</v>
      </c>
      <c r="X68">
        <f>_xlfn.XLOOKUP($A68,'2018-2019'!$B$4:$B$23,'2018-2019'!Y$4:Y$23)</f>
        <v>720</v>
      </c>
      <c r="Y68">
        <f>_xlfn.XLOOKUP($A68,'2018-2019'!$B$4:$B$23,'2018-2019'!Z$4:Z$23)</f>
        <v>409</v>
      </c>
      <c r="Z68">
        <f>_xlfn.XLOOKUP($A68,'2018-2019'!$B$4:$B$23,'2018-2019'!AA$4:AA$23)</f>
        <v>13961</v>
      </c>
      <c r="AA68">
        <f>_xlfn.XLOOKUP($A68,'2018-2019'!$B$4:$B$23,'2018-2019'!AB$4:AB$23)</f>
        <v>51</v>
      </c>
      <c r="AB68">
        <f>_xlfn.XLOOKUP($A68,'2018-2019'!$B$4:$B$23,'2018-2019'!AC$4:AC$23)</f>
        <v>2515</v>
      </c>
      <c r="AC68">
        <f>_xlfn.XLOOKUP($A68,'2018-2019'!$B$4:$B$23,'2018-2019'!AD$4:AD$23)</f>
        <v>622</v>
      </c>
      <c r="AD68">
        <f>_xlfn.XLOOKUP($A68,'2018-2019'!$B$4:$B$23,'2018-2019'!AE$4:AE$23)</f>
        <v>195</v>
      </c>
      <c r="AE68">
        <f>_xlfn.XLOOKUP($A68,'2018-2019'!$B$4:$B$23,'2018-2019'!AF$4:AF$23)</f>
        <v>112.75</v>
      </c>
      <c r="AF68">
        <f>_xlfn.XLOOKUP($A68,'2018-2019'!$B$4:$B$23,'2018-2019'!AG$4:AG$23)</f>
        <v>23.3</v>
      </c>
      <c r="AG68">
        <f>_xlfn.XLOOKUP($A68,'2018-2019'!$B$4:$B$23,'2018-2019'!AH$4:AH$23)</f>
        <v>35</v>
      </c>
      <c r="AH68">
        <f>_xlfn.XLOOKUP($A68,'2018-2019'!$B$4:$B$23,'2018-2019'!AI$4:AI$23)</f>
        <v>46</v>
      </c>
      <c r="AI68">
        <f>_xlfn.XLOOKUP($A68,'2018-2019'!$B$4:$B$23,'2018-2019'!AJ$4:AJ$23)</f>
        <v>302.89999999999998</v>
      </c>
      <c r="AJ68">
        <f>_xlfn.XLOOKUP($A68,'2018-2019'!$B$4:$B$23,'2018-2019'!AK$4:AK$23)</f>
        <v>40</v>
      </c>
      <c r="AK68">
        <f>_xlfn.XLOOKUP($A68,'2018-2019'!$B$4:$B$23,'2018-2019'!AL$4:AL$23)</f>
        <v>7.5724999999999998</v>
      </c>
      <c r="AL68">
        <f>_xlfn.XLOOKUP($A68,'2018-2019'!$B$4:$B$23,'2018-2019'!AM$4:AM$23)</f>
        <v>31030</v>
      </c>
      <c r="AM68">
        <f>_xlfn.XLOOKUP($A68,'2018-2019'!$B$4:$B$23,'2018-2019'!AN$4:AN$23)</f>
        <v>0.14000000000000001</v>
      </c>
      <c r="AN68">
        <f>_xlfn.XLOOKUP($A68,'2018-2019'!$B$4:$B$23,'2018-2019'!AO$4:AO$23)</f>
        <v>0</v>
      </c>
      <c r="AO68">
        <f>_xlfn.XLOOKUP($A68,'2018-2019'!$B$4:$B$23,'2018-2019'!AP$4:AP$23)</f>
        <v>1</v>
      </c>
      <c r="AP68">
        <f>_xlfn.XLOOKUP($A68,'2018-2019'!$B$4:$B$23,'2018-2019'!AQ$4:AQ$23)</f>
        <v>0</v>
      </c>
      <c r="AQ68">
        <f>_xlfn.XLOOKUP($A68,'2018-2019'!$B$4:$B$23,'2018-2019'!AR$4:AR$23)</f>
        <v>0</v>
      </c>
      <c r="AR68">
        <f>_xlfn.XLOOKUP($A68,'2018-2019'!$B$4:$B$23,'2018-2019'!AS$4:AS$23)</f>
        <v>0</v>
      </c>
      <c r="AS68" t="str">
        <f>_xlfn.XLOOKUP($A68,'2018-2019'!$B$4:$B$23,'2018-2019'!AT$4:AT$23)</f>
        <v>18/19</v>
      </c>
    </row>
    <row r="69" spans="1:45" x14ac:dyDescent="0.25">
      <c r="A69">
        <v>8</v>
      </c>
      <c r="B69" t="str">
        <f>_xlfn.XLOOKUP($A69,'2018-2019'!$B$4:$B$23,'2018-2019'!C$4:C$23)</f>
        <v>Everton</v>
      </c>
      <c r="C69">
        <f>_xlfn.XLOOKUP($A69,'2018-2019'!$B$4:$B$23,'2018-2019'!D$4:D$23)</f>
        <v>54</v>
      </c>
      <c r="D69">
        <f>_xlfn.XLOOKUP($A69,'2018-2019'!$B$4:$B$23,'2018-2019'!E$4:E$23)</f>
        <v>46</v>
      </c>
      <c r="E69">
        <f>_xlfn.XLOOKUP($A69,'2018-2019'!$B$4:$B$23,'2018-2019'!F$4:F$23)</f>
        <v>8</v>
      </c>
      <c r="F69">
        <f>_xlfn.XLOOKUP($A69,'2018-2019'!$B$4:$B$23,'2018-2019'!G$4:G$23)</f>
        <v>14</v>
      </c>
      <c r="G69">
        <f>_xlfn.XLOOKUP($A69,'2018-2019'!$B$4:$B$23,'2018-2019'!H$4:H$23)</f>
        <v>55</v>
      </c>
      <c r="H69">
        <f>_xlfn.XLOOKUP($A69,'2018-2019'!$B$4:$B$23,'2018-2019'!I$4:I$23)</f>
        <v>4</v>
      </c>
      <c r="I69">
        <f>_xlfn.XLOOKUP($A69,'2018-2019'!$B$4:$B$23,'2018-2019'!J$4:J$23)</f>
        <v>49.7</v>
      </c>
      <c r="J69">
        <f>_xlfn.XLOOKUP($A69,'2018-2019'!$B$4:$B$23,'2018-2019'!K$4:K$23)</f>
        <v>45.7</v>
      </c>
      <c r="K69">
        <f>_xlfn.XLOOKUP($A69,'2018-2019'!$B$4:$B$23,'2018-2019'!L$4:L$23)</f>
        <v>4.2999999999999972</v>
      </c>
      <c r="L69">
        <f>_xlfn.XLOOKUP($A69,'2018-2019'!$B$4:$B$23,'2018-2019'!M$4:M$23)</f>
        <v>493</v>
      </c>
      <c r="M69">
        <f>_xlfn.XLOOKUP($A69,'2018-2019'!$B$4:$B$23,'2018-2019'!N$4:N$23)</f>
        <v>163</v>
      </c>
      <c r="N69">
        <f>_xlfn.XLOOKUP($A69,'2018-2019'!$B$4:$B$23,'2018-2019'!O$4:O$23)</f>
        <v>2</v>
      </c>
      <c r="O69">
        <f>_xlfn.XLOOKUP($A69,'2018-2019'!$B$4:$B$23,'2018-2019'!P$4:P$23)</f>
        <v>13</v>
      </c>
      <c r="P69">
        <f>_xlfn.XLOOKUP($A69,'2018-2019'!$B$4:$B$23,'2018-2019'!Q$4:Q$23)</f>
        <v>45</v>
      </c>
      <c r="Q69">
        <f>_xlfn.XLOOKUP($A69,'2018-2019'!$B$4:$B$23,'2018-2019'!R$4:R$23)</f>
        <v>10</v>
      </c>
      <c r="R69">
        <f>_xlfn.XLOOKUP($A69,'2018-2019'!$B$4:$B$23,'2018-2019'!S$4:S$23)</f>
        <v>3</v>
      </c>
      <c r="S69">
        <f>_xlfn.XLOOKUP($A69,'2018-2019'!$B$4:$B$23,'2018-2019'!T$4:T$23)</f>
        <v>69</v>
      </c>
      <c r="T69">
        <f>_xlfn.XLOOKUP($A69,'2018-2019'!$B$4:$B$23,'2018-2019'!U$4:U$23)</f>
        <v>2</v>
      </c>
      <c r="U69">
        <f>_xlfn.XLOOKUP($A69,'2018-2019'!$B$4:$B$23,'2018-2019'!V$4:V$23)</f>
        <v>5</v>
      </c>
      <c r="V69">
        <f>_xlfn.XLOOKUP($A69,'2018-2019'!$B$4:$B$23,'2018-2019'!W$4:W$23)</f>
        <v>89</v>
      </c>
      <c r="W69">
        <f>_xlfn.XLOOKUP($A69,'2018-2019'!$B$4:$B$23,'2018-2019'!X$4:X$23)</f>
        <v>877</v>
      </c>
      <c r="X69">
        <f>_xlfn.XLOOKUP($A69,'2018-2019'!$B$4:$B$23,'2018-2019'!Y$4:Y$23)</f>
        <v>699</v>
      </c>
      <c r="Y69">
        <f>_xlfn.XLOOKUP($A69,'2018-2019'!$B$4:$B$23,'2018-2019'!Z$4:Z$23)</f>
        <v>432</v>
      </c>
      <c r="Z69">
        <f>_xlfn.XLOOKUP($A69,'2018-2019'!$B$4:$B$23,'2018-2019'!AA$4:AA$23)</f>
        <v>13878</v>
      </c>
      <c r="AA69">
        <f>_xlfn.XLOOKUP($A69,'2018-2019'!$B$4:$B$23,'2018-2019'!AB$4:AB$23)</f>
        <v>44</v>
      </c>
      <c r="AB69">
        <f>_xlfn.XLOOKUP($A69,'2018-2019'!$B$4:$B$23,'2018-2019'!AC$4:AC$23)</f>
        <v>2362</v>
      </c>
      <c r="AC69">
        <f>_xlfn.XLOOKUP($A69,'2018-2019'!$B$4:$B$23,'2018-2019'!AD$4:AD$23)</f>
        <v>814</v>
      </c>
      <c r="AD69">
        <f>_xlfn.XLOOKUP($A69,'2018-2019'!$B$4:$B$23,'2018-2019'!AE$4:AE$23)</f>
        <v>215</v>
      </c>
      <c r="AE69">
        <f>_xlfn.XLOOKUP($A69,'2018-2019'!$B$4:$B$23,'2018-2019'!AF$4:AF$23)</f>
        <v>99.8</v>
      </c>
      <c r="AF69">
        <f>_xlfn.XLOOKUP($A69,'2018-2019'!$B$4:$B$23,'2018-2019'!AG$4:AG$23)</f>
        <v>28.65</v>
      </c>
      <c r="AG69">
        <f>_xlfn.XLOOKUP($A69,'2018-2019'!$B$4:$B$23,'2018-2019'!AH$4:AH$23)</f>
        <v>19</v>
      </c>
      <c r="AH69">
        <f>_xlfn.XLOOKUP($A69,'2018-2019'!$B$4:$B$23,'2018-2019'!AI$4:AI$23)</f>
        <v>23</v>
      </c>
      <c r="AI69">
        <f>_xlfn.XLOOKUP($A69,'2018-2019'!$B$4:$B$23,'2018-2019'!AJ$4:AJ$23)</f>
        <v>529.1</v>
      </c>
      <c r="AJ69">
        <f>_xlfn.XLOOKUP($A69,'2018-2019'!$B$4:$B$23,'2018-2019'!AK$4:AK$23)</f>
        <v>40</v>
      </c>
      <c r="AK69">
        <f>_xlfn.XLOOKUP($A69,'2018-2019'!$B$4:$B$23,'2018-2019'!AL$4:AL$23)</f>
        <v>13.227500000000001</v>
      </c>
      <c r="AL69">
        <f>_xlfn.XLOOKUP($A69,'2018-2019'!$B$4:$B$23,'2018-2019'!AM$4:AM$23)</f>
        <v>39043</v>
      </c>
      <c r="AM69">
        <f>_xlfn.XLOOKUP($A69,'2018-2019'!$B$4:$B$23,'2018-2019'!AN$4:AN$23)</f>
        <v>0.1</v>
      </c>
      <c r="AN69">
        <f>_xlfn.XLOOKUP($A69,'2018-2019'!$B$4:$B$23,'2018-2019'!AO$4:AO$23)</f>
        <v>0</v>
      </c>
      <c r="AO69">
        <f>_xlfn.XLOOKUP($A69,'2018-2019'!$B$4:$B$23,'2018-2019'!AP$4:AP$23)</f>
        <v>0</v>
      </c>
      <c r="AP69">
        <f>_xlfn.XLOOKUP($A69,'2018-2019'!$B$4:$B$23,'2018-2019'!AQ$4:AQ$23)</f>
        <v>0</v>
      </c>
      <c r="AQ69">
        <f>_xlfn.XLOOKUP($A69,'2018-2019'!$B$4:$B$23,'2018-2019'!AR$4:AR$23)</f>
        <v>0</v>
      </c>
      <c r="AR69">
        <f>_xlfn.XLOOKUP($A69,'2018-2019'!$B$4:$B$23,'2018-2019'!AS$4:AS$23)</f>
        <v>0</v>
      </c>
      <c r="AS69" t="str">
        <f>_xlfn.XLOOKUP($A69,'2018-2019'!$B$4:$B$23,'2018-2019'!AT$4:AT$23)</f>
        <v>18/19</v>
      </c>
    </row>
    <row r="70" spans="1:45" x14ac:dyDescent="0.25">
      <c r="A70">
        <v>9</v>
      </c>
      <c r="B70" t="str">
        <f>_xlfn.XLOOKUP($A70,'2018-2019'!$B$4:$B$23,'2018-2019'!C$4:C$23)</f>
        <v>Leicester City</v>
      </c>
      <c r="C70">
        <f>_xlfn.XLOOKUP($A70,'2018-2019'!$B$4:$B$23,'2018-2019'!D$4:D$23)</f>
        <v>51</v>
      </c>
      <c r="D70">
        <f>_xlfn.XLOOKUP($A70,'2018-2019'!$B$4:$B$23,'2018-2019'!E$4:E$23)</f>
        <v>48</v>
      </c>
      <c r="E70">
        <f>_xlfn.XLOOKUP($A70,'2018-2019'!$B$4:$B$23,'2018-2019'!F$4:F$23)</f>
        <v>3</v>
      </c>
      <c r="F70">
        <f>_xlfn.XLOOKUP($A70,'2018-2019'!$B$4:$B$23,'2018-2019'!G$4:G$23)</f>
        <v>10</v>
      </c>
      <c r="G70">
        <f>_xlfn.XLOOKUP($A70,'2018-2019'!$B$4:$B$23,'2018-2019'!H$4:H$23)</f>
        <v>57</v>
      </c>
      <c r="H70">
        <f>_xlfn.XLOOKUP($A70,'2018-2019'!$B$4:$B$23,'2018-2019'!I$4:I$23)</f>
        <v>5</v>
      </c>
      <c r="I70">
        <f>_xlfn.XLOOKUP($A70,'2018-2019'!$B$4:$B$23,'2018-2019'!J$4:J$23)</f>
        <v>52.4</v>
      </c>
      <c r="J70">
        <f>_xlfn.XLOOKUP($A70,'2018-2019'!$B$4:$B$23,'2018-2019'!K$4:K$23)</f>
        <v>43.7</v>
      </c>
      <c r="K70">
        <f>_xlfn.XLOOKUP($A70,'2018-2019'!$B$4:$B$23,'2018-2019'!L$4:L$23)</f>
        <v>-1.3999999999999986</v>
      </c>
      <c r="L70">
        <f>_xlfn.XLOOKUP($A70,'2018-2019'!$B$4:$B$23,'2018-2019'!M$4:M$23)</f>
        <v>508</v>
      </c>
      <c r="M70">
        <f>_xlfn.XLOOKUP($A70,'2018-2019'!$B$4:$B$23,'2018-2019'!N$4:N$23)</f>
        <v>173</v>
      </c>
      <c r="N70">
        <f>_xlfn.XLOOKUP($A70,'2018-2019'!$B$4:$B$23,'2018-2019'!O$4:O$23)</f>
        <v>5</v>
      </c>
      <c r="O70">
        <f>_xlfn.XLOOKUP($A70,'2018-2019'!$B$4:$B$23,'2018-2019'!P$4:P$23)</f>
        <v>9</v>
      </c>
      <c r="P70">
        <f>_xlfn.XLOOKUP($A70,'2018-2019'!$B$4:$B$23,'2018-2019'!Q$4:Q$23)</f>
        <v>43</v>
      </c>
      <c r="Q70">
        <f>_xlfn.XLOOKUP($A70,'2018-2019'!$B$4:$B$23,'2018-2019'!R$4:R$23)</f>
        <v>8</v>
      </c>
      <c r="R70">
        <f>_xlfn.XLOOKUP($A70,'2018-2019'!$B$4:$B$23,'2018-2019'!S$4:S$23)</f>
        <v>8</v>
      </c>
      <c r="S70">
        <f>_xlfn.XLOOKUP($A70,'2018-2019'!$B$4:$B$23,'2018-2019'!T$4:T$23)</f>
        <v>72</v>
      </c>
      <c r="T70">
        <f>_xlfn.XLOOKUP($A70,'2018-2019'!$B$4:$B$23,'2018-2019'!U$4:U$23)</f>
        <v>0</v>
      </c>
      <c r="U70">
        <f>_xlfn.XLOOKUP($A70,'2018-2019'!$B$4:$B$23,'2018-2019'!V$4:V$23)</f>
        <v>5</v>
      </c>
      <c r="V70">
        <f>_xlfn.XLOOKUP($A70,'2018-2019'!$B$4:$B$23,'2018-2019'!W$4:W$23)</f>
        <v>90</v>
      </c>
      <c r="W70">
        <f>_xlfn.XLOOKUP($A70,'2018-2019'!$B$4:$B$23,'2018-2019'!X$4:X$23)</f>
        <v>1034</v>
      </c>
      <c r="X70">
        <f>_xlfn.XLOOKUP($A70,'2018-2019'!$B$4:$B$23,'2018-2019'!Y$4:Y$23)</f>
        <v>675</v>
      </c>
      <c r="Y70">
        <f>_xlfn.XLOOKUP($A70,'2018-2019'!$B$4:$B$23,'2018-2019'!Z$4:Z$23)</f>
        <v>351</v>
      </c>
      <c r="Z70">
        <f>_xlfn.XLOOKUP($A70,'2018-2019'!$B$4:$B$23,'2018-2019'!AA$4:AA$23)</f>
        <v>14640</v>
      </c>
      <c r="AA70">
        <f>_xlfn.XLOOKUP($A70,'2018-2019'!$B$4:$B$23,'2018-2019'!AB$4:AB$23)</f>
        <v>88</v>
      </c>
      <c r="AB70">
        <f>_xlfn.XLOOKUP($A70,'2018-2019'!$B$4:$B$23,'2018-2019'!AC$4:AC$23)</f>
        <v>2593</v>
      </c>
      <c r="AC70">
        <f>_xlfn.XLOOKUP($A70,'2018-2019'!$B$4:$B$23,'2018-2019'!AD$4:AD$23)</f>
        <v>779</v>
      </c>
      <c r="AD70">
        <f>_xlfn.XLOOKUP($A70,'2018-2019'!$B$4:$B$23,'2018-2019'!AE$4:AE$23)</f>
        <v>210</v>
      </c>
      <c r="AE70">
        <f>_xlfn.XLOOKUP($A70,'2018-2019'!$B$4:$B$23,'2018-2019'!AF$4:AF$23)</f>
        <v>114.6</v>
      </c>
      <c r="AF70">
        <f>_xlfn.XLOOKUP($A70,'2018-2019'!$B$4:$B$23,'2018-2019'!AG$4:AG$23)</f>
        <v>95.8</v>
      </c>
      <c r="AG70">
        <f>_xlfn.XLOOKUP($A70,'2018-2019'!$B$4:$B$23,'2018-2019'!AH$4:AH$23)</f>
        <v>16</v>
      </c>
      <c r="AH70">
        <f>_xlfn.XLOOKUP($A70,'2018-2019'!$B$4:$B$23,'2018-2019'!AI$4:AI$23)</f>
        <v>18</v>
      </c>
      <c r="AI70">
        <f>_xlfn.XLOOKUP($A70,'2018-2019'!$B$4:$B$23,'2018-2019'!AJ$4:AJ$23)</f>
        <v>434.1</v>
      </c>
      <c r="AJ70">
        <f>_xlfn.XLOOKUP($A70,'2018-2019'!$B$4:$B$23,'2018-2019'!AK$4:AK$23)</f>
        <v>37</v>
      </c>
      <c r="AK70">
        <f>_xlfn.XLOOKUP($A70,'2018-2019'!$B$4:$B$23,'2018-2019'!AL$4:AL$23)</f>
        <v>11.732432432432432</v>
      </c>
      <c r="AL70">
        <f>_xlfn.XLOOKUP($A70,'2018-2019'!$B$4:$B$23,'2018-2019'!AM$4:AM$23)</f>
        <v>31851</v>
      </c>
      <c r="AM70">
        <f>_xlfn.XLOOKUP($A70,'2018-2019'!$B$4:$B$23,'2018-2019'!AN$4:AN$23)</f>
        <v>0.06</v>
      </c>
      <c r="AN70">
        <f>_xlfn.XLOOKUP($A70,'2018-2019'!$B$4:$B$23,'2018-2019'!AO$4:AO$23)</f>
        <v>0</v>
      </c>
      <c r="AO70">
        <f>_xlfn.XLOOKUP($A70,'2018-2019'!$B$4:$B$23,'2018-2019'!AP$4:AP$23)</f>
        <v>0</v>
      </c>
      <c r="AP70">
        <f>_xlfn.XLOOKUP($A70,'2018-2019'!$B$4:$B$23,'2018-2019'!AQ$4:AQ$23)</f>
        <v>0</v>
      </c>
      <c r="AQ70">
        <f>_xlfn.XLOOKUP($A70,'2018-2019'!$B$4:$B$23,'2018-2019'!AR$4:AR$23)</f>
        <v>0</v>
      </c>
      <c r="AR70">
        <f>_xlfn.XLOOKUP($A70,'2018-2019'!$B$4:$B$23,'2018-2019'!AS$4:AS$23)</f>
        <v>0</v>
      </c>
      <c r="AS70" t="str">
        <f>_xlfn.XLOOKUP($A70,'2018-2019'!$B$4:$B$23,'2018-2019'!AT$4:AT$23)</f>
        <v>18/19</v>
      </c>
    </row>
    <row r="71" spans="1:45" x14ac:dyDescent="0.25">
      <c r="A71">
        <v>10</v>
      </c>
      <c r="B71" t="str">
        <f>_xlfn.XLOOKUP($A71,'2018-2019'!$B$4:$B$23,'2018-2019'!C$4:C$23)</f>
        <v>West Ham United</v>
      </c>
      <c r="C71">
        <f>_xlfn.XLOOKUP($A71,'2018-2019'!$B$4:$B$23,'2018-2019'!D$4:D$23)</f>
        <v>52</v>
      </c>
      <c r="D71">
        <f>_xlfn.XLOOKUP($A71,'2018-2019'!$B$4:$B$23,'2018-2019'!E$4:E$23)</f>
        <v>55</v>
      </c>
      <c r="E71">
        <f>_xlfn.XLOOKUP($A71,'2018-2019'!$B$4:$B$23,'2018-2019'!F$4:F$23)</f>
        <v>-3</v>
      </c>
      <c r="F71">
        <f>_xlfn.XLOOKUP($A71,'2018-2019'!$B$4:$B$23,'2018-2019'!G$4:G$23)</f>
        <v>7</v>
      </c>
      <c r="G71">
        <f>_xlfn.XLOOKUP($A71,'2018-2019'!$B$4:$B$23,'2018-2019'!H$4:H$23)</f>
        <v>59</v>
      </c>
      <c r="H71">
        <f>_xlfn.XLOOKUP($A71,'2018-2019'!$B$4:$B$23,'2018-2019'!I$4:I$23)</f>
        <v>1</v>
      </c>
      <c r="I71">
        <f>_xlfn.XLOOKUP($A71,'2018-2019'!$B$4:$B$23,'2018-2019'!J$4:J$23)</f>
        <v>47.6</v>
      </c>
      <c r="J71">
        <f>_xlfn.XLOOKUP($A71,'2018-2019'!$B$4:$B$23,'2018-2019'!K$4:K$23)</f>
        <v>61.9</v>
      </c>
      <c r="K71">
        <f>_xlfn.XLOOKUP($A71,'2018-2019'!$B$4:$B$23,'2018-2019'!L$4:L$23)</f>
        <v>4.3999999999999986</v>
      </c>
      <c r="L71">
        <f>_xlfn.XLOOKUP($A71,'2018-2019'!$B$4:$B$23,'2018-2019'!M$4:M$23)</f>
        <v>436</v>
      </c>
      <c r="M71">
        <f>_xlfn.XLOOKUP($A71,'2018-2019'!$B$4:$B$23,'2018-2019'!N$4:N$23)</f>
        <v>149</v>
      </c>
      <c r="N71">
        <f>_xlfn.XLOOKUP($A71,'2018-2019'!$B$4:$B$23,'2018-2019'!O$4:O$23)</f>
        <v>5</v>
      </c>
      <c r="O71">
        <f>_xlfn.XLOOKUP($A71,'2018-2019'!$B$4:$B$23,'2018-2019'!P$4:P$23)</f>
        <v>10</v>
      </c>
      <c r="P71">
        <f>_xlfn.XLOOKUP($A71,'2018-2019'!$B$4:$B$23,'2018-2019'!Q$4:Q$23)</f>
        <v>47</v>
      </c>
      <c r="Q71">
        <f>_xlfn.XLOOKUP($A71,'2018-2019'!$B$4:$B$23,'2018-2019'!R$4:R$23)</f>
        <v>5</v>
      </c>
      <c r="R71">
        <f>_xlfn.XLOOKUP($A71,'2018-2019'!$B$4:$B$23,'2018-2019'!S$4:S$23)</f>
        <v>3</v>
      </c>
      <c r="S71">
        <f>_xlfn.XLOOKUP($A71,'2018-2019'!$B$4:$B$23,'2018-2019'!T$4:T$23)</f>
        <v>71</v>
      </c>
      <c r="T71">
        <f>_xlfn.XLOOKUP($A71,'2018-2019'!$B$4:$B$23,'2018-2019'!U$4:U$23)</f>
        <v>1</v>
      </c>
      <c r="U71">
        <f>_xlfn.XLOOKUP($A71,'2018-2019'!$B$4:$B$23,'2018-2019'!V$4:V$23)</f>
        <v>5</v>
      </c>
      <c r="V71">
        <f>_xlfn.XLOOKUP($A71,'2018-2019'!$B$4:$B$23,'2018-2019'!W$4:W$23)</f>
        <v>143</v>
      </c>
      <c r="W71">
        <f>_xlfn.XLOOKUP($A71,'2018-2019'!$B$4:$B$23,'2018-2019'!X$4:X$23)</f>
        <v>926</v>
      </c>
      <c r="X71">
        <f>_xlfn.XLOOKUP($A71,'2018-2019'!$B$4:$B$23,'2018-2019'!Y$4:Y$23)</f>
        <v>723</v>
      </c>
      <c r="Y71">
        <f>_xlfn.XLOOKUP($A71,'2018-2019'!$B$4:$B$23,'2018-2019'!Z$4:Z$23)</f>
        <v>331</v>
      </c>
      <c r="Z71">
        <f>_xlfn.XLOOKUP($A71,'2018-2019'!$B$4:$B$23,'2018-2019'!AA$4:AA$23)</f>
        <v>13847</v>
      </c>
      <c r="AA71">
        <f>_xlfn.XLOOKUP($A71,'2018-2019'!$B$4:$B$23,'2018-2019'!AB$4:AB$23)</f>
        <v>75</v>
      </c>
      <c r="AB71">
        <f>_xlfn.XLOOKUP($A71,'2018-2019'!$B$4:$B$23,'2018-2019'!AC$4:AC$23)</f>
        <v>2273</v>
      </c>
      <c r="AC71">
        <f>_xlfn.XLOOKUP($A71,'2018-2019'!$B$4:$B$23,'2018-2019'!AD$4:AD$23)</f>
        <v>631</v>
      </c>
      <c r="AD71">
        <f>_xlfn.XLOOKUP($A71,'2018-2019'!$B$4:$B$23,'2018-2019'!AE$4:AE$23)</f>
        <v>188</v>
      </c>
      <c r="AE71">
        <f>_xlfn.XLOOKUP($A71,'2018-2019'!$B$4:$B$23,'2018-2019'!AF$4:AF$23)</f>
        <v>100.9</v>
      </c>
      <c r="AF71">
        <f>_xlfn.XLOOKUP($A71,'2018-2019'!$B$4:$B$23,'2018-2019'!AG$4:AG$23)</f>
        <v>13.77</v>
      </c>
      <c r="AG71">
        <f>_xlfn.XLOOKUP($A71,'2018-2019'!$B$4:$B$23,'2018-2019'!AH$4:AH$23)</f>
        <v>18</v>
      </c>
      <c r="AH71">
        <f>_xlfn.XLOOKUP($A71,'2018-2019'!$B$4:$B$23,'2018-2019'!AI$4:AI$23)</f>
        <v>13</v>
      </c>
      <c r="AI71">
        <f>_xlfn.XLOOKUP($A71,'2018-2019'!$B$4:$B$23,'2018-2019'!AJ$4:AJ$23)</f>
        <v>359</v>
      </c>
      <c r="AJ71">
        <f>_xlfn.XLOOKUP($A71,'2018-2019'!$B$4:$B$23,'2018-2019'!AK$4:AK$23)</f>
        <v>37</v>
      </c>
      <c r="AK71">
        <f>_xlfn.XLOOKUP($A71,'2018-2019'!$B$4:$B$23,'2018-2019'!AL$4:AL$23)</f>
        <v>9.7027027027027035</v>
      </c>
      <c r="AL71">
        <f>_xlfn.XLOOKUP($A71,'2018-2019'!$B$4:$B$23,'2018-2019'!AM$4:AM$23)</f>
        <v>58336</v>
      </c>
      <c r="AM71">
        <f>_xlfn.XLOOKUP($A71,'2018-2019'!$B$4:$B$23,'2018-2019'!AN$4:AN$23)</f>
        <v>0.13</v>
      </c>
      <c r="AN71">
        <f>_xlfn.XLOOKUP($A71,'2018-2019'!$B$4:$B$23,'2018-2019'!AO$4:AO$23)</f>
        <v>0</v>
      </c>
      <c r="AO71">
        <f>_xlfn.XLOOKUP($A71,'2018-2019'!$B$4:$B$23,'2018-2019'!AP$4:AP$23)</f>
        <v>0</v>
      </c>
      <c r="AP71">
        <f>_xlfn.XLOOKUP($A71,'2018-2019'!$B$4:$B$23,'2018-2019'!AQ$4:AQ$23)</f>
        <v>0</v>
      </c>
      <c r="AQ71">
        <f>_xlfn.XLOOKUP($A71,'2018-2019'!$B$4:$B$23,'2018-2019'!AR$4:AR$23)</f>
        <v>0</v>
      </c>
      <c r="AR71">
        <f>_xlfn.XLOOKUP($A71,'2018-2019'!$B$4:$B$23,'2018-2019'!AS$4:AS$23)</f>
        <v>0</v>
      </c>
      <c r="AS71" t="str">
        <f>_xlfn.XLOOKUP($A71,'2018-2019'!$B$4:$B$23,'2018-2019'!AT$4:AT$23)</f>
        <v>18/19</v>
      </c>
    </row>
    <row r="72" spans="1:45" x14ac:dyDescent="0.25">
      <c r="A72">
        <v>11</v>
      </c>
      <c r="B72" t="str">
        <f>_xlfn.XLOOKUP($A72,'2018-2019'!$B$4:$B$23,'2018-2019'!C$4:C$23)</f>
        <v>Watford</v>
      </c>
      <c r="C72">
        <f>_xlfn.XLOOKUP($A72,'2018-2019'!$B$4:$B$23,'2018-2019'!D$4:D$23)</f>
        <v>52</v>
      </c>
      <c r="D72">
        <f>_xlfn.XLOOKUP($A72,'2018-2019'!$B$4:$B$23,'2018-2019'!E$4:E$23)</f>
        <v>59</v>
      </c>
      <c r="E72">
        <f>_xlfn.XLOOKUP($A72,'2018-2019'!$B$4:$B$23,'2018-2019'!F$4:F$23)</f>
        <v>-7</v>
      </c>
      <c r="F72">
        <f>_xlfn.XLOOKUP($A72,'2018-2019'!$B$4:$B$23,'2018-2019'!G$4:G$23)</f>
        <v>7</v>
      </c>
      <c r="G72">
        <f>_xlfn.XLOOKUP($A72,'2018-2019'!$B$4:$B$23,'2018-2019'!H$4:H$23)</f>
        <v>77</v>
      </c>
      <c r="H72">
        <f>_xlfn.XLOOKUP($A72,'2018-2019'!$B$4:$B$23,'2018-2019'!I$4:I$23)</f>
        <v>4</v>
      </c>
      <c r="I72">
        <f>_xlfn.XLOOKUP($A72,'2018-2019'!$B$4:$B$23,'2018-2019'!J$4:J$23)</f>
        <v>48.2</v>
      </c>
      <c r="J72">
        <f>_xlfn.XLOOKUP($A72,'2018-2019'!$B$4:$B$23,'2018-2019'!K$4:K$23)</f>
        <v>59.2</v>
      </c>
      <c r="K72">
        <f>_xlfn.XLOOKUP($A72,'2018-2019'!$B$4:$B$23,'2018-2019'!L$4:L$23)</f>
        <v>3.7999999999999972</v>
      </c>
      <c r="L72">
        <f>_xlfn.XLOOKUP($A72,'2018-2019'!$B$4:$B$23,'2018-2019'!M$4:M$23)</f>
        <v>436</v>
      </c>
      <c r="M72">
        <f>_xlfn.XLOOKUP($A72,'2018-2019'!$B$4:$B$23,'2018-2019'!N$4:N$23)</f>
        <v>148</v>
      </c>
      <c r="N72">
        <f>_xlfn.XLOOKUP($A72,'2018-2019'!$B$4:$B$23,'2018-2019'!O$4:O$23)</f>
        <v>1</v>
      </c>
      <c r="O72">
        <f>_xlfn.XLOOKUP($A72,'2018-2019'!$B$4:$B$23,'2018-2019'!P$4:P$23)</f>
        <v>8</v>
      </c>
      <c r="P72">
        <f>_xlfn.XLOOKUP($A72,'2018-2019'!$B$4:$B$23,'2018-2019'!Q$4:Q$23)</f>
        <v>44</v>
      </c>
      <c r="Q72">
        <f>_xlfn.XLOOKUP($A72,'2018-2019'!$B$4:$B$23,'2018-2019'!R$4:R$23)</f>
        <v>8</v>
      </c>
      <c r="R72">
        <f>_xlfn.XLOOKUP($A72,'2018-2019'!$B$4:$B$23,'2018-2019'!S$4:S$23)</f>
        <v>3</v>
      </c>
      <c r="S72">
        <f>_xlfn.XLOOKUP($A72,'2018-2019'!$B$4:$B$23,'2018-2019'!T$4:T$23)</f>
        <v>89</v>
      </c>
      <c r="T72">
        <f>_xlfn.XLOOKUP($A72,'2018-2019'!$B$4:$B$23,'2018-2019'!U$4:U$23)</f>
        <v>3</v>
      </c>
      <c r="U72">
        <f>_xlfn.XLOOKUP($A72,'2018-2019'!$B$4:$B$23,'2018-2019'!V$4:V$23)</f>
        <v>5</v>
      </c>
      <c r="V72">
        <f>_xlfn.XLOOKUP($A72,'2018-2019'!$B$4:$B$23,'2018-2019'!W$4:W$23)</f>
        <v>123</v>
      </c>
      <c r="W72">
        <f>_xlfn.XLOOKUP($A72,'2018-2019'!$B$4:$B$23,'2018-2019'!X$4:X$23)</f>
        <v>1022</v>
      </c>
      <c r="X72">
        <f>_xlfn.XLOOKUP($A72,'2018-2019'!$B$4:$B$23,'2018-2019'!Y$4:Y$23)</f>
        <v>656</v>
      </c>
      <c r="Y72">
        <f>_xlfn.XLOOKUP($A72,'2018-2019'!$B$4:$B$23,'2018-2019'!Z$4:Z$23)</f>
        <v>433</v>
      </c>
      <c r="Z72">
        <f>_xlfn.XLOOKUP($A72,'2018-2019'!$B$4:$B$23,'2018-2019'!AA$4:AA$23)</f>
        <v>12550</v>
      </c>
      <c r="AA72">
        <f>_xlfn.XLOOKUP($A72,'2018-2019'!$B$4:$B$23,'2018-2019'!AB$4:AB$23)</f>
        <v>32</v>
      </c>
      <c r="AB72">
        <f>_xlfn.XLOOKUP($A72,'2018-2019'!$B$4:$B$23,'2018-2019'!AC$4:AC$23)</f>
        <v>2314</v>
      </c>
      <c r="AC72">
        <f>_xlfn.XLOOKUP($A72,'2018-2019'!$B$4:$B$23,'2018-2019'!AD$4:AD$23)</f>
        <v>570</v>
      </c>
      <c r="AD72">
        <f>_xlfn.XLOOKUP($A72,'2018-2019'!$B$4:$B$23,'2018-2019'!AE$4:AE$23)</f>
        <v>177</v>
      </c>
      <c r="AE72">
        <f>_xlfn.XLOOKUP($A72,'2018-2019'!$B$4:$B$23,'2018-2019'!AF$4:AF$23)</f>
        <v>30.1</v>
      </c>
      <c r="AF72">
        <f>_xlfn.XLOOKUP($A72,'2018-2019'!$B$4:$B$23,'2018-2019'!AG$4:AG$23)</f>
        <v>51.84</v>
      </c>
      <c r="AG72">
        <f>_xlfn.XLOOKUP($A72,'2018-2019'!$B$4:$B$23,'2018-2019'!AH$4:AH$23)</f>
        <v>26</v>
      </c>
      <c r="AH72">
        <f>_xlfn.XLOOKUP($A72,'2018-2019'!$B$4:$B$23,'2018-2019'!AI$4:AI$23)</f>
        <v>27</v>
      </c>
      <c r="AI72">
        <f>_xlfn.XLOOKUP($A72,'2018-2019'!$B$4:$B$23,'2018-2019'!AJ$4:AJ$23)</f>
        <v>239.1</v>
      </c>
      <c r="AJ72">
        <f>_xlfn.XLOOKUP($A72,'2018-2019'!$B$4:$B$23,'2018-2019'!AK$4:AK$23)</f>
        <v>39</v>
      </c>
      <c r="AK72">
        <f>_xlfn.XLOOKUP($A72,'2018-2019'!$B$4:$B$23,'2018-2019'!AL$4:AL$23)</f>
        <v>6.1307692307692303</v>
      </c>
      <c r="AL72">
        <f>_xlfn.XLOOKUP($A72,'2018-2019'!$B$4:$B$23,'2018-2019'!AM$4:AM$23)</f>
        <v>20016</v>
      </c>
      <c r="AM72">
        <f>_xlfn.XLOOKUP($A72,'2018-2019'!$B$4:$B$23,'2018-2019'!AN$4:AN$23)</f>
        <v>0.03</v>
      </c>
      <c r="AN72">
        <f>_xlfn.XLOOKUP($A72,'2018-2019'!$B$4:$B$23,'2018-2019'!AO$4:AO$23)</f>
        <v>0</v>
      </c>
      <c r="AO72">
        <f>_xlfn.XLOOKUP($A72,'2018-2019'!$B$4:$B$23,'2018-2019'!AP$4:AP$23)</f>
        <v>0</v>
      </c>
      <c r="AP72">
        <f>_xlfn.XLOOKUP($A72,'2018-2019'!$B$4:$B$23,'2018-2019'!AQ$4:AQ$23)</f>
        <v>0</v>
      </c>
      <c r="AQ72">
        <f>_xlfn.XLOOKUP($A72,'2018-2019'!$B$4:$B$23,'2018-2019'!AR$4:AR$23)</f>
        <v>0</v>
      </c>
      <c r="AR72">
        <f>_xlfn.XLOOKUP($A72,'2018-2019'!$B$4:$B$23,'2018-2019'!AS$4:AS$23)</f>
        <v>0</v>
      </c>
      <c r="AS72" t="str">
        <f>_xlfn.XLOOKUP($A72,'2018-2019'!$B$4:$B$23,'2018-2019'!AT$4:AT$23)</f>
        <v>18/19</v>
      </c>
    </row>
    <row r="73" spans="1:45" x14ac:dyDescent="0.25">
      <c r="A73">
        <v>12</v>
      </c>
      <c r="B73" t="str">
        <f>_xlfn.XLOOKUP($A73,'2018-2019'!$B$4:$B$23,'2018-2019'!C$4:C$23)</f>
        <v>Crystal Palace</v>
      </c>
      <c r="C73">
        <f>_xlfn.XLOOKUP($A73,'2018-2019'!$B$4:$B$23,'2018-2019'!D$4:D$23)</f>
        <v>51</v>
      </c>
      <c r="D73">
        <f>_xlfn.XLOOKUP($A73,'2018-2019'!$B$4:$B$23,'2018-2019'!E$4:E$23)</f>
        <v>53</v>
      </c>
      <c r="E73">
        <f>_xlfn.XLOOKUP($A73,'2018-2019'!$B$4:$B$23,'2018-2019'!F$4:F$23)</f>
        <v>-2</v>
      </c>
      <c r="F73">
        <f>_xlfn.XLOOKUP($A73,'2018-2019'!$B$4:$B$23,'2018-2019'!G$4:G$23)</f>
        <v>12</v>
      </c>
      <c r="G73">
        <f>_xlfn.XLOOKUP($A73,'2018-2019'!$B$4:$B$23,'2018-2019'!H$4:H$23)</f>
        <v>58</v>
      </c>
      <c r="H73">
        <f>_xlfn.XLOOKUP($A73,'2018-2019'!$B$4:$B$23,'2018-2019'!I$4:I$23)</f>
        <v>2</v>
      </c>
      <c r="I73">
        <f>_xlfn.XLOOKUP($A73,'2018-2019'!$B$4:$B$23,'2018-2019'!J$4:J$23)</f>
        <v>47.6</v>
      </c>
      <c r="J73">
        <f>_xlfn.XLOOKUP($A73,'2018-2019'!$B$4:$B$23,'2018-2019'!K$4:K$23)</f>
        <v>50.1</v>
      </c>
      <c r="K73">
        <f>_xlfn.XLOOKUP($A73,'2018-2019'!$B$4:$B$23,'2018-2019'!L$4:L$23)</f>
        <v>3.3999999999999986</v>
      </c>
      <c r="L73">
        <f>_xlfn.XLOOKUP($A73,'2018-2019'!$B$4:$B$23,'2018-2019'!M$4:M$23)</f>
        <v>482</v>
      </c>
      <c r="M73">
        <f>_xlfn.XLOOKUP($A73,'2018-2019'!$B$4:$B$23,'2018-2019'!N$4:N$23)</f>
        <v>135</v>
      </c>
      <c r="N73">
        <f>_xlfn.XLOOKUP($A73,'2018-2019'!$B$4:$B$23,'2018-2019'!O$4:O$23)</f>
        <v>10</v>
      </c>
      <c r="O73">
        <f>_xlfn.XLOOKUP($A73,'2018-2019'!$B$4:$B$23,'2018-2019'!P$4:P$23)</f>
        <v>5</v>
      </c>
      <c r="P73">
        <f>_xlfn.XLOOKUP($A73,'2018-2019'!$B$4:$B$23,'2018-2019'!Q$4:Q$23)</f>
        <v>43</v>
      </c>
      <c r="Q73">
        <f>_xlfn.XLOOKUP($A73,'2018-2019'!$B$4:$B$23,'2018-2019'!R$4:R$23)</f>
        <v>8</v>
      </c>
      <c r="R73">
        <f>_xlfn.XLOOKUP($A73,'2018-2019'!$B$4:$B$23,'2018-2019'!S$4:S$23)</f>
        <v>2</v>
      </c>
      <c r="S73">
        <f>_xlfn.XLOOKUP($A73,'2018-2019'!$B$4:$B$23,'2018-2019'!T$4:T$23)</f>
        <v>78</v>
      </c>
      <c r="T73">
        <f>_xlfn.XLOOKUP($A73,'2018-2019'!$B$4:$B$23,'2018-2019'!U$4:U$23)</f>
        <v>1</v>
      </c>
      <c r="U73">
        <f>_xlfn.XLOOKUP($A73,'2018-2019'!$B$4:$B$23,'2018-2019'!V$4:V$23)</f>
        <v>5</v>
      </c>
      <c r="V73">
        <f>_xlfn.XLOOKUP($A73,'2018-2019'!$B$4:$B$23,'2018-2019'!W$4:W$23)</f>
        <v>110</v>
      </c>
      <c r="W73">
        <f>_xlfn.XLOOKUP($A73,'2018-2019'!$B$4:$B$23,'2018-2019'!X$4:X$23)</f>
        <v>1011</v>
      </c>
      <c r="X73">
        <f>_xlfn.XLOOKUP($A73,'2018-2019'!$B$4:$B$23,'2018-2019'!Y$4:Y$23)</f>
        <v>733</v>
      </c>
      <c r="Y73">
        <f>_xlfn.XLOOKUP($A73,'2018-2019'!$B$4:$B$23,'2018-2019'!Z$4:Z$23)</f>
        <v>386</v>
      </c>
      <c r="Z73">
        <f>_xlfn.XLOOKUP($A73,'2018-2019'!$B$4:$B$23,'2018-2019'!AA$4:AA$23)</f>
        <v>12697</v>
      </c>
      <c r="AA73">
        <f>_xlfn.XLOOKUP($A73,'2018-2019'!$B$4:$B$23,'2018-2019'!AB$4:AB$23)</f>
        <v>26</v>
      </c>
      <c r="AB73">
        <f>_xlfn.XLOOKUP($A73,'2018-2019'!$B$4:$B$23,'2018-2019'!AC$4:AC$23)</f>
        <v>2233</v>
      </c>
      <c r="AC73">
        <f>_xlfn.XLOOKUP($A73,'2018-2019'!$B$4:$B$23,'2018-2019'!AD$4:AD$23)</f>
        <v>577</v>
      </c>
      <c r="AD73">
        <f>_xlfn.XLOOKUP($A73,'2018-2019'!$B$4:$B$23,'2018-2019'!AE$4:AE$23)</f>
        <v>205</v>
      </c>
      <c r="AE73">
        <f>_xlfn.XLOOKUP($A73,'2018-2019'!$B$4:$B$23,'2018-2019'!AF$4:AF$23)</f>
        <v>11.85</v>
      </c>
      <c r="AF73">
        <f>_xlfn.XLOOKUP($A73,'2018-2019'!$B$4:$B$23,'2018-2019'!AG$4:AG$23)</f>
        <v>0.35</v>
      </c>
      <c r="AG73">
        <f>_xlfn.XLOOKUP($A73,'2018-2019'!$B$4:$B$23,'2018-2019'!AH$4:AH$23)</f>
        <v>11</v>
      </c>
      <c r="AH73">
        <f>_xlfn.XLOOKUP($A73,'2018-2019'!$B$4:$B$23,'2018-2019'!AI$4:AI$23)</f>
        <v>16</v>
      </c>
      <c r="AI73">
        <f>_xlfn.XLOOKUP($A73,'2018-2019'!$B$4:$B$23,'2018-2019'!AJ$4:AJ$23)</f>
        <v>289</v>
      </c>
      <c r="AJ73">
        <f>_xlfn.XLOOKUP($A73,'2018-2019'!$B$4:$B$23,'2018-2019'!AK$4:AK$23)</f>
        <v>36</v>
      </c>
      <c r="AK73">
        <f>_xlfn.XLOOKUP($A73,'2018-2019'!$B$4:$B$23,'2018-2019'!AL$4:AL$23)</f>
        <v>8.0277777777777786</v>
      </c>
      <c r="AL73">
        <f>_xlfn.XLOOKUP($A73,'2018-2019'!$B$4:$B$23,'2018-2019'!AM$4:AM$23)</f>
        <v>25455</v>
      </c>
      <c r="AM73">
        <f>_xlfn.XLOOKUP($A73,'2018-2019'!$B$4:$B$23,'2018-2019'!AN$4:AN$23)</f>
        <v>-0.06</v>
      </c>
      <c r="AN73">
        <f>_xlfn.XLOOKUP($A73,'2018-2019'!$B$4:$B$23,'2018-2019'!AO$4:AO$23)</f>
        <v>0</v>
      </c>
      <c r="AO73">
        <f>_xlfn.XLOOKUP($A73,'2018-2019'!$B$4:$B$23,'2018-2019'!AP$4:AP$23)</f>
        <v>0</v>
      </c>
      <c r="AP73">
        <f>_xlfn.XLOOKUP($A73,'2018-2019'!$B$4:$B$23,'2018-2019'!AQ$4:AQ$23)</f>
        <v>0</v>
      </c>
      <c r="AQ73">
        <f>_xlfn.XLOOKUP($A73,'2018-2019'!$B$4:$B$23,'2018-2019'!AR$4:AR$23)</f>
        <v>0</v>
      </c>
      <c r="AR73">
        <f>_xlfn.XLOOKUP($A73,'2018-2019'!$B$4:$B$23,'2018-2019'!AS$4:AS$23)</f>
        <v>0</v>
      </c>
      <c r="AS73" t="str">
        <f>_xlfn.XLOOKUP($A73,'2018-2019'!$B$4:$B$23,'2018-2019'!AT$4:AT$23)</f>
        <v>18/19</v>
      </c>
    </row>
    <row r="74" spans="1:45" x14ac:dyDescent="0.25">
      <c r="A74">
        <v>13</v>
      </c>
      <c r="B74" t="str">
        <f>_xlfn.XLOOKUP($A74,'2018-2019'!$B$4:$B$23,'2018-2019'!C$4:C$23)</f>
        <v>Newcastle United</v>
      </c>
      <c r="C74">
        <f>_xlfn.XLOOKUP($A74,'2018-2019'!$B$4:$B$23,'2018-2019'!D$4:D$23)</f>
        <v>42</v>
      </c>
      <c r="D74">
        <f>_xlfn.XLOOKUP($A74,'2018-2019'!$B$4:$B$23,'2018-2019'!E$4:E$23)</f>
        <v>48</v>
      </c>
      <c r="E74">
        <f>_xlfn.XLOOKUP($A74,'2018-2019'!$B$4:$B$23,'2018-2019'!F$4:F$23)</f>
        <v>-6</v>
      </c>
      <c r="F74">
        <f>_xlfn.XLOOKUP($A74,'2018-2019'!$B$4:$B$23,'2018-2019'!G$4:G$23)</f>
        <v>11</v>
      </c>
      <c r="G74">
        <f>_xlfn.XLOOKUP($A74,'2018-2019'!$B$4:$B$23,'2018-2019'!H$4:H$23)</f>
        <v>57</v>
      </c>
      <c r="H74">
        <f>_xlfn.XLOOKUP($A74,'2018-2019'!$B$4:$B$23,'2018-2019'!I$4:I$23)</f>
        <v>2</v>
      </c>
      <c r="I74">
        <f>_xlfn.XLOOKUP($A74,'2018-2019'!$B$4:$B$23,'2018-2019'!J$4:J$23)</f>
        <v>39.1</v>
      </c>
      <c r="J74">
        <f>_xlfn.XLOOKUP($A74,'2018-2019'!$B$4:$B$23,'2018-2019'!K$4:K$23)</f>
        <v>53.6</v>
      </c>
      <c r="K74">
        <f>_xlfn.XLOOKUP($A74,'2018-2019'!$B$4:$B$23,'2018-2019'!L$4:L$23)</f>
        <v>2.8999999999999986</v>
      </c>
      <c r="L74">
        <f>_xlfn.XLOOKUP($A74,'2018-2019'!$B$4:$B$23,'2018-2019'!M$4:M$23)</f>
        <v>443</v>
      </c>
      <c r="M74">
        <f>_xlfn.XLOOKUP($A74,'2018-2019'!$B$4:$B$23,'2018-2019'!N$4:N$23)</f>
        <v>136</v>
      </c>
      <c r="N74">
        <f>_xlfn.XLOOKUP($A74,'2018-2019'!$B$4:$B$23,'2018-2019'!O$4:O$23)</f>
        <v>1</v>
      </c>
      <c r="O74">
        <f>_xlfn.XLOOKUP($A74,'2018-2019'!$B$4:$B$23,'2018-2019'!P$4:P$23)</f>
        <v>12</v>
      </c>
      <c r="P74">
        <f>_xlfn.XLOOKUP($A74,'2018-2019'!$B$4:$B$23,'2018-2019'!Q$4:Q$23)</f>
        <v>40</v>
      </c>
      <c r="Q74">
        <f>_xlfn.XLOOKUP($A74,'2018-2019'!$B$4:$B$23,'2018-2019'!R$4:R$23)</f>
        <v>2</v>
      </c>
      <c r="R74">
        <f>_xlfn.XLOOKUP($A74,'2018-2019'!$B$4:$B$23,'2018-2019'!S$4:S$23)</f>
        <v>1</v>
      </c>
      <c r="S74">
        <f>_xlfn.XLOOKUP($A74,'2018-2019'!$B$4:$B$23,'2018-2019'!T$4:T$23)</f>
        <v>59</v>
      </c>
      <c r="T74">
        <f>_xlfn.XLOOKUP($A74,'2018-2019'!$B$4:$B$23,'2018-2019'!U$4:U$23)</f>
        <v>1</v>
      </c>
      <c r="U74">
        <f>_xlfn.XLOOKUP($A74,'2018-2019'!$B$4:$B$23,'2018-2019'!V$4:V$23)</f>
        <v>6</v>
      </c>
      <c r="V74">
        <f>_xlfn.XLOOKUP($A74,'2018-2019'!$B$4:$B$23,'2018-2019'!W$4:W$23)</f>
        <v>93</v>
      </c>
      <c r="W74">
        <f>_xlfn.XLOOKUP($A74,'2018-2019'!$B$4:$B$23,'2018-2019'!X$4:X$23)</f>
        <v>1204</v>
      </c>
      <c r="X74">
        <f>_xlfn.XLOOKUP($A74,'2018-2019'!$B$4:$B$23,'2018-2019'!Y$4:Y$23)</f>
        <v>711</v>
      </c>
      <c r="Y74">
        <f>_xlfn.XLOOKUP($A74,'2018-2019'!$B$4:$B$23,'2018-2019'!Z$4:Z$23)</f>
        <v>423</v>
      </c>
      <c r="Z74">
        <f>_xlfn.XLOOKUP($A74,'2018-2019'!$B$4:$B$23,'2018-2019'!AA$4:AA$23)</f>
        <v>10774</v>
      </c>
      <c r="AA74">
        <f>_xlfn.XLOOKUP($A74,'2018-2019'!$B$4:$B$23,'2018-2019'!AB$4:AB$23)</f>
        <v>50</v>
      </c>
      <c r="AB74">
        <f>_xlfn.XLOOKUP($A74,'2018-2019'!$B$4:$B$23,'2018-2019'!AC$4:AC$23)</f>
        <v>1999</v>
      </c>
      <c r="AC74">
        <f>_xlfn.XLOOKUP($A74,'2018-2019'!$B$4:$B$23,'2018-2019'!AD$4:AD$23)</f>
        <v>711</v>
      </c>
      <c r="AD74">
        <f>_xlfn.XLOOKUP($A74,'2018-2019'!$B$4:$B$23,'2018-2019'!AE$4:AE$23)</f>
        <v>181</v>
      </c>
      <c r="AE74">
        <f>_xlfn.XLOOKUP($A74,'2018-2019'!$B$4:$B$23,'2018-2019'!AF$4:AF$23)</f>
        <v>59.45</v>
      </c>
      <c r="AF74">
        <f>_xlfn.XLOOKUP($A74,'2018-2019'!$B$4:$B$23,'2018-2019'!AG$4:AG$23)</f>
        <v>54.05</v>
      </c>
      <c r="AG74">
        <f>_xlfn.XLOOKUP($A74,'2018-2019'!$B$4:$B$23,'2018-2019'!AH$4:AH$23)</f>
        <v>22</v>
      </c>
      <c r="AH74">
        <f>_xlfn.XLOOKUP($A74,'2018-2019'!$B$4:$B$23,'2018-2019'!AI$4:AI$23)</f>
        <v>23</v>
      </c>
      <c r="AI74">
        <f>_xlfn.XLOOKUP($A74,'2018-2019'!$B$4:$B$23,'2018-2019'!AJ$4:AJ$23)</f>
        <v>244.65</v>
      </c>
      <c r="AJ74">
        <f>_xlfn.XLOOKUP($A74,'2018-2019'!$B$4:$B$23,'2018-2019'!AK$4:AK$23)</f>
        <v>37</v>
      </c>
      <c r="AK74">
        <f>_xlfn.XLOOKUP($A74,'2018-2019'!$B$4:$B$23,'2018-2019'!AL$4:AL$23)</f>
        <v>6.6121621621621625</v>
      </c>
      <c r="AL74">
        <f>_xlfn.XLOOKUP($A74,'2018-2019'!$B$4:$B$23,'2018-2019'!AM$4:AM$23)</f>
        <v>51121</v>
      </c>
      <c r="AM74">
        <f>_xlfn.XLOOKUP($A74,'2018-2019'!$B$4:$B$23,'2018-2019'!AN$4:AN$23)</f>
        <v>0.05</v>
      </c>
      <c r="AN74">
        <f>_xlfn.XLOOKUP($A74,'2018-2019'!$B$4:$B$23,'2018-2019'!AO$4:AO$23)</f>
        <v>0</v>
      </c>
      <c r="AO74">
        <f>_xlfn.XLOOKUP($A74,'2018-2019'!$B$4:$B$23,'2018-2019'!AP$4:AP$23)</f>
        <v>0</v>
      </c>
      <c r="AP74">
        <f>_xlfn.XLOOKUP($A74,'2018-2019'!$B$4:$B$23,'2018-2019'!AQ$4:AQ$23)</f>
        <v>0</v>
      </c>
      <c r="AQ74">
        <f>_xlfn.XLOOKUP($A74,'2018-2019'!$B$4:$B$23,'2018-2019'!AR$4:AR$23)</f>
        <v>0</v>
      </c>
      <c r="AR74">
        <f>_xlfn.XLOOKUP($A74,'2018-2019'!$B$4:$B$23,'2018-2019'!AS$4:AS$23)</f>
        <v>0</v>
      </c>
      <c r="AS74" t="str">
        <f>_xlfn.XLOOKUP($A74,'2018-2019'!$B$4:$B$23,'2018-2019'!AT$4:AT$23)</f>
        <v>18/19</v>
      </c>
    </row>
    <row r="75" spans="1:45" x14ac:dyDescent="0.25">
      <c r="A75">
        <v>14</v>
      </c>
      <c r="B75" t="str">
        <f>_xlfn.XLOOKUP($A75,'2018-2019'!$B$4:$B$23,'2018-2019'!C$4:C$23)</f>
        <v>AFC Bournemouth</v>
      </c>
      <c r="C75">
        <f>_xlfn.XLOOKUP($A75,'2018-2019'!$B$4:$B$23,'2018-2019'!D$4:D$23)</f>
        <v>56</v>
      </c>
      <c r="D75">
        <f>_xlfn.XLOOKUP($A75,'2018-2019'!$B$4:$B$23,'2018-2019'!E$4:E$23)</f>
        <v>70</v>
      </c>
      <c r="E75">
        <f>_xlfn.XLOOKUP($A75,'2018-2019'!$B$4:$B$23,'2018-2019'!F$4:F$23)</f>
        <v>-14</v>
      </c>
      <c r="F75">
        <f>_xlfn.XLOOKUP($A75,'2018-2019'!$B$4:$B$23,'2018-2019'!G$4:G$23)</f>
        <v>10</v>
      </c>
      <c r="G75">
        <f>_xlfn.XLOOKUP($A75,'2018-2019'!$B$4:$B$23,'2018-2019'!H$4:H$23)</f>
        <v>60</v>
      </c>
      <c r="H75">
        <f>_xlfn.XLOOKUP($A75,'2018-2019'!$B$4:$B$23,'2018-2019'!I$4:I$23)</f>
        <v>1</v>
      </c>
      <c r="I75">
        <f>_xlfn.XLOOKUP($A75,'2018-2019'!$B$4:$B$23,'2018-2019'!J$4:J$23)</f>
        <v>53.3</v>
      </c>
      <c r="J75">
        <f>_xlfn.XLOOKUP($A75,'2018-2019'!$B$4:$B$23,'2018-2019'!K$4:K$23)</f>
        <v>57.2</v>
      </c>
      <c r="K75">
        <f>_xlfn.XLOOKUP($A75,'2018-2019'!$B$4:$B$23,'2018-2019'!L$4:L$23)</f>
        <v>2.7000000000000028</v>
      </c>
      <c r="L75">
        <f>_xlfn.XLOOKUP($A75,'2018-2019'!$B$4:$B$23,'2018-2019'!M$4:M$23)</f>
        <v>437</v>
      </c>
      <c r="M75">
        <f>_xlfn.XLOOKUP($A75,'2018-2019'!$B$4:$B$23,'2018-2019'!N$4:N$23)</f>
        <v>153</v>
      </c>
      <c r="N75">
        <f>_xlfn.XLOOKUP($A75,'2018-2019'!$B$4:$B$23,'2018-2019'!O$4:O$23)</f>
        <v>7</v>
      </c>
      <c r="O75">
        <f>_xlfn.XLOOKUP($A75,'2018-2019'!$B$4:$B$23,'2018-2019'!P$4:P$23)</f>
        <v>11</v>
      </c>
      <c r="P75">
        <f>_xlfn.XLOOKUP($A75,'2018-2019'!$B$4:$B$23,'2018-2019'!Q$4:Q$23)</f>
        <v>50</v>
      </c>
      <c r="Q75">
        <f>_xlfn.XLOOKUP($A75,'2018-2019'!$B$4:$B$23,'2018-2019'!R$4:R$23)</f>
        <v>6</v>
      </c>
      <c r="R75">
        <f>_xlfn.XLOOKUP($A75,'2018-2019'!$B$4:$B$23,'2018-2019'!S$4:S$23)</f>
        <v>9</v>
      </c>
      <c r="S75">
        <f>_xlfn.XLOOKUP($A75,'2018-2019'!$B$4:$B$23,'2018-2019'!T$4:T$23)</f>
        <v>57</v>
      </c>
      <c r="T75">
        <f>_xlfn.XLOOKUP($A75,'2018-2019'!$B$4:$B$23,'2018-2019'!U$4:U$23)</f>
        <v>3</v>
      </c>
      <c r="U75">
        <f>_xlfn.XLOOKUP($A75,'2018-2019'!$B$4:$B$23,'2018-2019'!V$4:V$23)</f>
        <v>5</v>
      </c>
      <c r="V75">
        <f>_xlfn.XLOOKUP($A75,'2018-2019'!$B$4:$B$23,'2018-2019'!W$4:W$23)</f>
        <v>106</v>
      </c>
      <c r="W75">
        <f>_xlfn.XLOOKUP($A75,'2018-2019'!$B$4:$B$23,'2018-2019'!X$4:X$23)</f>
        <v>1098</v>
      </c>
      <c r="X75">
        <f>_xlfn.XLOOKUP($A75,'2018-2019'!$B$4:$B$23,'2018-2019'!Y$4:Y$23)</f>
        <v>525</v>
      </c>
      <c r="Y75">
        <f>_xlfn.XLOOKUP($A75,'2018-2019'!$B$4:$B$23,'2018-2019'!Z$4:Z$23)</f>
        <v>340</v>
      </c>
      <c r="Z75">
        <f>_xlfn.XLOOKUP($A75,'2018-2019'!$B$4:$B$23,'2018-2019'!AA$4:AA$23)</f>
        <v>13505</v>
      </c>
      <c r="AA75">
        <f>_xlfn.XLOOKUP($A75,'2018-2019'!$B$4:$B$23,'2018-2019'!AB$4:AB$23)</f>
        <v>57</v>
      </c>
      <c r="AB75">
        <f>_xlfn.XLOOKUP($A75,'2018-2019'!$B$4:$B$23,'2018-2019'!AC$4:AC$23)</f>
        <v>2249</v>
      </c>
      <c r="AC75">
        <f>_xlfn.XLOOKUP($A75,'2018-2019'!$B$4:$B$23,'2018-2019'!AD$4:AD$23)</f>
        <v>613</v>
      </c>
      <c r="AD75">
        <f>_xlfn.XLOOKUP($A75,'2018-2019'!$B$4:$B$23,'2018-2019'!AE$4:AE$23)</f>
        <v>191</v>
      </c>
      <c r="AE75">
        <f>_xlfn.XLOOKUP($A75,'2018-2019'!$B$4:$B$23,'2018-2019'!AF$4:AF$23)</f>
        <v>89.1</v>
      </c>
      <c r="AF75">
        <f>_xlfn.XLOOKUP($A75,'2018-2019'!$B$4:$B$23,'2018-2019'!AG$4:AG$23)</f>
        <v>20.2</v>
      </c>
      <c r="AG75">
        <f>_xlfn.XLOOKUP($A75,'2018-2019'!$B$4:$B$23,'2018-2019'!AH$4:AH$23)</f>
        <v>14</v>
      </c>
      <c r="AH75">
        <f>_xlfn.XLOOKUP($A75,'2018-2019'!$B$4:$B$23,'2018-2019'!AI$4:AI$23)</f>
        <v>16</v>
      </c>
      <c r="AI75">
        <f>_xlfn.XLOOKUP($A75,'2018-2019'!$B$4:$B$23,'2018-2019'!AJ$4:AJ$23)</f>
        <v>310</v>
      </c>
      <c r="AJ75">
        <f>_xlfn.XLOOKUP($A75,'2018-2019'!$B$4:$B$23,'2018-2019'!AK$4:AK$23)</f>
        <v>37</v>
      </c>
      <c r="AK75">
        <f>_xlfn.XLOOKUP($A75,'2018-2019'!$B$4:$B$23,'2018-2019'!AL$4:AL$23)</f>
        <v>8.378378378378379</v>
      </c>
      <c r="AL75">
        <f>_xlfn.XLOOKUP($A75,'2018-2019'!$B$4:$B$23,'2018-2019'!AM$4:AM$23)</f>
        <v>10532</v>
      </c>
      <c r="AM75">
        <f>_xlfn.XLOOKUP($A75,'2018-2019'!$B$4:$B$23,'2018-2019'!AN$4:AN$23)</f>
        <v>0.18</v>
      </c>
      <c r="AN75">
        <f>_xlfn.XLOOKUP($A75,'2018-2019'!$B$4:$B$23,'2018-2019'!AO$4:AO$23)</f>
        <v>0</v>
      </c>
      <c r="AO75">
        <f>_xlfn.XLOOKUP($A75,'2018-2019'!$B$4:$B$23,'2018-2019'!AP$4:AP$23)</f>
        <v>0</v>
      </c>
      <c r="AP75">
        <f>_xlfn.XLOOKUP($A75,'2018-2019'!$B$4:$B$23,'2018-2019'!AQ$4:AQ$23)</f>
        <v>0</v>
      </c>
      <c r="AQ75">
        <f>_xlfn.XLOOKUP($A75,'2018-2019'!$B$4:$B$23,'2018-2019'!AR$4:AR$23)</f>
        <v>0</v>
      </c>
      <c r="AR75">
        <f>_xlfn.XLOOKUP($A75,'2018-2019'!$B$4:$B$23,'2018-2019'!AS$4:AS$23)</f>
        <v>0</v>
      </c>
      <c r="AS75" t="str">
        <f>_xlfn.XLOOKUP($A75,'2018-2019'!$B$4:$B$23,'2018-2019'!AT$4:AT$23)</f>
        <v>18/19</v>
      </c>
    </row>
    <row r="76" spans="1:45" x14ac:dyDescent="0.25">
      <c r="A76">
        <v>15</v>
      </c>
      <c r="B76" t="str">
        <f>_xlfn.XLOOKUP($A76,'2018-2019'!$B$4:$B$23,'2018-2019'!C$4:C$23)</f>
        <v>Burnley</v>
      </c>
      <c r="C76">
        <f>_xlfn.XLOOKUP($A76,'2018-2019'!$B$4:$B$23,'2018-2019'!D$4:D$23)</f>
        <v>45</v>
      </c>
      <c r="D76">
        <f>_xlfn.XLOOKUP($A76,'2018-2019'!$B$4:$B$23,'2018-2019'!E$4:E$23)</f>
        <v>68</v>
      </c>
      <c r="E76">
        <f>_xlfn.XLOOKUP($A76,'2018-2019'!$B$4:$B$23,'2018-2019'!F$4:F$23)</f>
        <v>-23</v>
      </c>
      <c r="F76">
        <f>_xlfn.XLOOKUP($A76,'2018-2019'!$B$4:$B$23,'2018-2019'!G$4:G$23)</f>
        <v>8</v>
      </c>
      <c r="G76">
        <f>_xlfn.XLOOKUP($A76,'2018-2019'!$B$4:$B$23,'2018-2019'!H$4:H$23)</f>
        <v>75</v>
      </c>
      <c r="H76">
        <f>_xlfn.XLOOKUP($A76,'2018-2019'!$B$4:$B$23,'2018-2019'!I$4:I$23)</f>
        <v>1</v>
      </c>
      <c r="I76">
        <f>_xlfn.XLOOKUP($A76,'2018-2019'!$B$4:$B$23,'2018-2019'!J$4:J$23)</f>
        <v>44.4</v>
      </c>
      <c r="J76">
        <f>_xlfn.XLOOKUP($A76,'2018-2019'!$B$4:$B$23,'2018-2019'!K$4:K$23)</f>
        <v>62.1</v>
      </c>
      <c r="K76">
        <f>_xlfn.XLOOKUP($A76,'2018-2019'!$B$4:$B$23,'2018-2019'!L$4:L$23)</f>
        <v>0.60000000000000142</v>
      </c>
      <c r="L76">
        <f>_xlfn.XLOOKUP($A76,'2018-2019'!$B$4:$B$23,'2018-2019'!M$4:M$23)</f>
        <v>358</v>
      </c>
      <c r="M76">
        <f>_xlfn.XLOOKUP($A76,'2018-2019'!$B$4:$B$23,'2018-2019'!N$4:N$23)</f>
        <v>112</v>
      </c>
      <c r="N76">
        <f>_xlfn.XLOOKUP($A76,'2018-2019'!$B$4:$B$23,'2018-2019'!O$4:O$23)</f>
        <v>2</v>
      </c>
      <c r="O76">
        <f>_xlfn.XLOOKUP($A76,'2018-2019'!$B$4:$B$23,'2018-2019'!P$4:P$23)</f>
        <v>13</v>
      </c>
      <c r="P76">
        <f>_xlfn.XLOOKUP($A76,'2018-2019'!$B$4:$B$23,'2018-2019'!Q$4:Q$23)</f>
        <v>43</v>
      </c>
      <c r="Q76">
        <f>_xlfn.XLOOKUP($A76,'2018-2019'!$B$4:$B$23,'2018-2019'!R$4:R$23)</f>
        <v>2</v>
      </c>
      <c r="R76">
        <f>_xlfn.XLOOKUP($A76,'2018-2019'!$B$4:$B$23,'2018-2019'!S$4:S$23)</f>
        <v>1</v>
      </c>
      <c r="S76">
        <f>_xlfn.XLOOKUP($A76,'2018-2019'!$B$4:$B$23,'2018-2019'!T$4:T$23)</f>
        <v>106</v>
      </c>
      <c r="T76">
        <f>_xlfn.XLOOKUP($A76,'2018-2019'!$B$4:$B$23,'2018-2019'!U$4:U$23)</f>
        <v>4</v>
      </c>
      <c r="U76">
        <f>_xlfn.XLOOKUP($A76,'2018-2019'!$B$4:$B$23,'2018-2019'!V$4:V$23)</f>
        <v>3</v>
      </c>
      <c r="V76">
        <f>_xlfn.XLOOKUP($A76,'2018-2019'!$B$4:$B$23,'2018-2019'!W$4:W$23)</f>
        <v>134</v>
      </c>
      <c r="W76">
        <f>_xlfn.XLOOKUP($A76,'2018-2019'!$B$4:$B$23,'2018-2019'!X$4:X$23)</f>
        <v>1156</v>
      </c>
      <c r="X76">
        <f>_xlfn.XLOOKUP($A76,'2018-2019'!$B$4:$B$23,'2018-2019'!Y$4:Y$23)</f>
        <v>584</v>
      </c>
      <c r="Y76">
        <f>_xlfn.XLOOKUP($A76,'2018-2019'!$B$4:$B$23,'2018-2019'!Z$4:Z$23)</f>
        <v>360</v>
      </c>
      <c r="Z76">
        <f>_xlfn.XLOOKUP($A76,'2018-2019'!$B$4:$B$23,'2018-2019'!AA$4:AA$23)</f>
        <v>10134</v>
      </c>
      <c r="AA76">
        <f>_xlfn.XLOOKUP($A76,'2018-2019'!$B$4:$B$23,'2018-2019'!AB$4:AB$23)</f>
        <v>35</v>
      </c>
      <c r="AB76">
        <f>_xlfn.XLOOKUP($A76,'2018-2019'!$B$4:$B$23,'2018-2019'!AC$4:AC$23)</f>
        <v>2046</v>
      </c>
      <c r="AC76">
        <f>_xlfn.XLOOKUP($A76,'2018-2019'!$B$4:$B$23,'2018-2019'!AD$4:AD$23)</f>
        <v>692</v>
      </c>
      <c r="AD76">
        <f>_xlfn.XLOOKUP($A76,'2018-2019'!$B$4:$B$23,'2018-2019'!AE$4:AE$23)</f>
        <v>139</v>
      </c>
      <c r="AE76">
        <f>_xlfn.XLOOKUP($A76,'2018-2019'!$B$4:$B$23,'2018-2019'!AF$4:AF$23)</f>
        <v>33</v>
      </c>
      <c r="AF76">
        <f>_xlfn.XLOOKUP($A76,'2018-2019'!$B$4:$B$23,'2018-2019'!AG$4:AG$23)</f>
        <v>8</v>
      </c>
      <c r="AG76">
        <f>_xlfn.XLOOKUP($A76,'2018-2019'!$B$4:$B$23,'2018-2019'!AH$4:AH$23)</f>
        <v>8</v>
      </c>
      <c r="AH76">
        <f>_xlfn.XLOOKUP($A76,'2018-2019'!$B$4:$B$23,'2018-2019'!AI$4:AI$23)</f>
        <v>11</v>
      </c>
      <c r="AI76">
        <f>_xlfn.XLOOKUP($A76,'2018-2019'!$B$4:$B$23,'2018-2019'!AJ$4:AJ$23)</f>
        <v>197.25</v>
      </c>
      <c r="AJ76">
        <f>_xlfn.XLOOKUP($A76,'2018-2019'!$B$4:$B$23,'2018-2019'!AK$4:AK$23)</f>
        <v>33</v>
      </c>
      <c r="AK76">
        <f>_xlfn.XLOOKUP($A76,'2018-2019'!$B$4:$B$23,'2018-2019'!AL$4:AL$23)</f>
        <v>5.9772727272727275</v>
      </c>
      <c r="AL76">
        <f>_xlfn.XLOOKUP($A76,'2018-2019'!$B$4:$B$23,'2018-2019'!AM$4:AM$23)</f>
        <v>20534</v>
      </c>
      <c r="AM76">
        <f>_xlfn.XLOOKUP($A76,'2018-2019'!$B$4:$B$23,'2018-2019'!AN$4:AN$23)</f>
        <v>7.0000000000000007E-2</v>
      </c>
      <c r="AN76">
        <f>_xlfn.XLOOKUP($A76,'2018-2019'!$B$4:$B$23,'2018-2019'!AO$4:AO$23)</f>
        <v>1</v>
      </c>
      <c r="AO76">
        <f>_xlfn.XLOOKUP($A76,'2018-2019'!$B$4:$B$23,'2018-2019'!AP$4:AP$23)</f>
        <v>0</v>
      </c>
      <c r="AP76">
        <f>_xlfn.XLOOKUP($A76,'2018-2019'!$B$4:$B$23,'2018-2019'!AQ$4:AQ$23)</f>
        <v>0</v>
      </c>
      <c r="AQ76">
        <f>_xlfn.XLOOKUP($A76,'2018-2019'!$B$4:$B$23,'2018-2019'!AR$4:AR$23)</f>
        <v>0</v>
      </c>
      <c r="AR76">
        <f>_xlfn.XLOOKUP($A76,'2018-2019'!$B$4:$B$23,'2018-2019'!AS$4:AS$23)</f>
        <v>0</v>
      </c>
      <c r="AS76" t="str">
        <f>_xlfn.XLOOKUP($A76,'2018-2019'!$B$4:$B$23,'2018-2019'!AT$4:AT$23)</f>
        <v>18/19</v>
      </c>
    </row>
    <row r="77" spans="1:45" x14ac:dyDescent="0.25">
      <c r="A77">
        <v>16</v>
      </c>
      <c r="B77" t="str">
        <f>_xlfn.XLOOKUP($A77,'2018-2019'!$B$4:$B$23,'2018-2019'!C$4:C$23)</f>
        <v>Southampton</v>
      </c>
      <c r="C77">
        <f>_xlfn.XLOOKUP($A77,'2018-2019'!$B$4:$B$23,'2018-2019'!D$4:D$23)</f>
        <v>45</v>
      </c>
      <c r="D77">
        <f>_xlfn.XLOOKUP($A77,'2018-2019'!$B$4:$B$23,'2018-2019'!E$4:E$23)</f>
        <v>65</v>
      </c>
      <c r="E77">
        <f>_xlfn.XLOOKUP($A77,'2018-2019'!$B$4:$B$23,'2018-2019'!F$4:F$23)</f>
        <v>-20</v>
      </c>
      <c r="F77">
        <f>_xlfn.XLOOKUP($A77,'2018-2019'!$B$4:$B$23,'2018-2019'!G$4:G$23)</f>
        <v>7</v>
      </c>
      <c r="G77">
        <f>_xlfn.XLOOKUP($A77,'2018-2019'!$B$4:$B$23,'2018-2019'!H$4:H$23)</f>
        <v>71</v>
      </c>
      <c r="H77">
        <f>_xlfn.XLOOKUP($A77,'2018-2019'!$B$4:$B$23,'2018-2019'!I$4:I$23)</f>
        <v>3</v>
      </c>
      <c r="I77">
        <f>_xlfn.XLOOKUP($A77,'2018-2019'!$B$4:$B$23,'2018-2019'!J$4:J$23)</f>
        <v>46.9</v>
      </c>
      <c r="J77">
        <f>_xlfn.XLOOKUP($A77,'2018-2019'!$B$4:$B$23,'2018-2019'!K$4:K$23)</f>
        <v>55.1</v>
      </c>
      <c r="K77">
        <f>_xlfn.XLOOKUP($A77,'2018-2019'!$B$4:$B$23,'2018-2019'!L$4:L$23)</f>
        <v>-1.8999999999999986</v>
      </c>
      <c r="L77">
        <f>_xlfn.XLOOKUP($A77,'2018-2019'!$B$4:$B$23,'2018-2019'!M$4:M$23)</f>
        <v>479</v>
      </c>
      <c r="M77">
        <f>_xlfn.XLOOKUP($A77,'2018-2019'!$B$4:$B$23,'2018-2019'!N$4:N$23)</f>
        <v>155</v>
      </c>
      <c r="N77">
        <f>_xlfn.XLOOKUP($A77,'2018-2019'!$B$4:$B$23,'2018-2019'!O$4:O$23)</f>
        <v>4</v>
      </c>
      <c r="O77">
        <f>_xlfn.XLOOKUP($A77,'2018-2019'!$B$4:$B$23,'2018-2019'!P$4:P$23)</f>
        <v>4</v>
      </c>
      <c r="P77">
        <f>_xlfn.XLOOKUP($A77,'2018-2019'!$B$4:$B$23,'2018-2019'!Q$4:Q$23)</f>
        <v>31</v>
      </c>
      <c r="Q77">
        <f>_xlfn.XLOOKUP($A77,'2018-2019'!$B$4:$B$23,'2018-2019'!R$4:R$23)</f>
        <v>14</v>
      </c>
      <c r="R77">
        <f>_xlfn.XLOOKUP($A77,'2018-2019'!$B$4:$B$23,'2018-2019'!S$4:S$23)</f>
        <v>1</v>
      </c>
      <c r="S77">
        <f>_xlfn.XLOOKUP($A77,'2018-2019'!$B$4:$B$23,'2018-2019'!T$4:T$23)</f>
        <v>61</v>
      </c>
      <c r="T77">
        <f>_xlfn.XLOOKUP($A77,'2018-2019'!$B$4:$B$23,'2018-2019'!U$4:U$23)</f>
        <v>3</v>
      </c>
      <c r="U77">
        <f>_xlfn.XLOOKUP($A77,'2018-2019'!$B$4:$B$23,'2018-2019'!V$4:V$23)</f>
        <v>3</v>
      </c>
      <c r="V77">
        <f>_xlfn.XLOOKUP($A77,'2018-2019'!$B$4:$B$23,'2018-2019'!W$4:W$23)</f>
        <v>112</v>
      </c>
      <c r="W77">
        <f>_xlfn.XLOOKUP($A77,'2018-2019'!$B$4:$B$23,'2018-2019'!X$4:X$23)</f>
        <v>1128</v>
      </c>
      <c r="X77">
        <f>_xlfn.XLOOKUP($A77,'2018-2019'!$B$4:$B$23,'2018-2019'!Y$4:Y$23)</f>
        <v>698</v>
      </c>
      <c r="Y77">
        <f>_xlfn.XLOOKUP($A77,'2018-2019'!$B$4:$B$23,'2018-2019'!Z$4:Z$23)</f>
        <v>420</v>
      </c>
      <c r="Z77">
        <f>_xlfn.XLOOKUP($A77,'2018-2019'!$B$4:$B$23,'2018-2019'!AA$4:AA$23)</f>
        <v>11463</v>
      </c>
      <c r="AA77">
        <f>_xlfn.XLOOKUP($A77,'2018-2019'!$B$4:$B$23,'2018-2019'!AB$4:AB$23)</f>
        <v>35</v>
      </c>
      <c r="AB77">
        <f>_xlfn.XLOOKUP($A77,'2018-2019'!$B$4:$B$23,'2018-2019'!AC$4:AC$23)</f>
        <v>2040</v>
      </c>
      <c r="AC77">
        <f>_xlfn.XLOOKUP($A77,'2018-2019'!$B$4:$B$23,'2018-2019'!AD$4:AD$23)</f>
        <v>666</v>
      </c>
      <c r="AD77">
        <f>_xlfn.XLOOKUP($A77,'2018-2019'!$B$4:$B$23,'2018-2019'!AE$4:AE$23)</f>
        <v>193</v>
      </c>
      <c r="AE77">
        <f>_xlfn.XLOOKUP($A77,'2018-2019'!$B$4:$B$23,'2018-2019'!AF$4:AF$23)</f>
        <v>62.25</v>
      </c>
      <c r="AF77">
        <f>_xlfn.XLOOKUP($A77,'2018-2019'!$B$4:$B$23,'2018-2019'!AG$4:AG$23)</f>
        <v>26.1</v>
      </c>
      <c r="AG77">
        <f>_xlfn.XLOOKUP($A77,'2018-2019'!$B$4:$B$23,'2018-2019'!AH$4:AH$23)</f>
        <v>16</v>
      </c>
      <c r="AH77">
        <f>_xlfn.XLOOKUP($A77,'2018-2019'!$B$4:$B$23,'2018-2019'!AI$4:AI$23)</f>
        <v>18</v>
      </c>
      <c r="AI77">
        <f>_xlfn.XLOOKUP($A77,'2018-2019'!$B$4:$B$23,'2018-2019'!AJ$4:AJ$23)</f>
        <v>305.39999999999998</v>
      </c>
      <c r="AJ77">
        <f>_xlfn.XLOOKUP($A77,'2018-2019'!$B$4:$B$23,'2018-2019'!AK$4:AK$23)</f>
        <v>40</v>
      </c>
      <c r="AK77">
        <f>_xlfn.XLOOKUP($A77,'2018-2019'!$B$4:$B$23,'2018-2019'!AL$4:AL$23)</f>
        <v>7.6349999999999998</v>
      </c>
      <c r="AL77">
        <f>_xlfn.XLOOKUP($A77,'2018-2019'!$B$4:$B$23,'2018-2019'!AM$4:AM$23)</f>
        <v>30139</v>
      </c>
      <c r="AM77">
        <f>_xlfn.XLOOKUP($A77,'2018-2019'!$B$4:$B$23,'2018-2019'!AN$4:AN$23)</f>
        <v>0.14000000000000001</v>
      </c>
      <c r="AN77">
        <f>_xlfn.XLOOKUP($A77,'2018-2019'!$B$4:$B$23,'2018-2019'!AO$4:AO$23)</f>
        <v>0</v>
      </c>
      <c r="AO77">
        <f>_xlfn.XLOOKUP($A77,'2018-2019'!$B$4:$B$23,'2018-2019'!AP$4:AP$23)</f>
        <v>0</v>
      </c>
      <c r="AP77">
        <f>_xlfn.XLOOKUP($A77,'2018-2019'!$B$4:$B$23,'2018-2019'!AQ$4:AQ$23)</f>
        <v>0</v>
      </c>
      <c r="AQ77">
        <f>_xlfn.XLOOKUP($A77,'2018-2019'!$B$4:$B$23,'2018-2019'!AR$4:AR$23)</f>
        <v>0</v>
      </c>
      <c r="AR77">
        <f>_xlfn.XLOOKUP($A77,'2018-2019'!$B$4:$B$23,'2018-2019'!AS$4:AS$23)</f>
        <v>0</v>
      </c>
      <c r="AS77" t="str">
        <f>_xlfn.XLOOKUP($A77,'2018-2019'!$B$4:$B$23,'2018-2019'!AT$4:AT$23)</f>
        <v>18/19</v>
      </c>
    </row>
    <row r="78" spans="1:45" x14ac:dyDescent="0.25">
      <c r="A78">
        <v>17</v>
      </c>
      <c r="B78" t="str">
        <f>_xlfn.XLOOKUP($A78,'2018-2019'!$B$4:$B$23,'2018-2019'!C$4:C$23)</f>
        <v>Brighton and Hove Albion</v>
      </c>
      <c r="C78">
        <f>_xlfn.XLOOKUP($A78,'2018-2019'!$B$4:$B$23,'2018-2019'!D$4:D$23)</f>
        <v>35</v>
      </c>
      <c r="D78">
        <f>_xlfn.XLOOKUP($A78,'2018-2019'!$B$4:$B$23,'2018-2019'!E$4:E$23)</f>
        <v>60</v>
      </c>
      <c r="E78">
        <f>_xlfn.XLOOKUP($A78,'2018-2019'!$B$4:$B$23,'2018-2019'!F$4:F$23)</f>
        <v>-25</v>
      </c>
      <c r="F78">
        <f>_xlfn.XLOOKUP($A78,'2018-2019'!$B$4:$B$23,'2018-2019'!G$4:G$23)</f>
        <v>7</v>
      </c>
      <c r="G78">
        <f>_xlfn.XLOOKUP($A78,'2018-2019'!$B$4:$B$23,'2018-2019'!H$4:H$23)</f>
        <v>60</v>
      </c>
      <c r="H78">
        <f>_xlfn.XLOOKUP($A78,'2018-2019'!$B$4:$B$23,'2018-2019'!I$4:I$23)</f>
        <v>4</v>
      </c>
      <c r="I78">
        <f>_xlfn.XLOOKUP($A78,'2018-2019'!$B$4:$B$23,'2018-2019'!J$4:J$23)</f>
        <v>35.299999999999997</v>
      </c>
      <c r="J78">
        <f>_xlfn.XLOOKUP($A78,'2018-2019'!$B$4:$B$23,'2018-2019'!K$4:K$23)</f>
        <v>59.1</v>
      </c>
      <c r="K78">
        <f>_xlfn.XLOOKUP($A78,'2018-2019'!$B$4:$B$23,'2018-2019'!L$4:L$23)</f>
        <v>-0.29999999999999716</v>
      </c>
      <c r="L78">
        <f>_xlfn.XLOOKUP($A78,'2018-2019'!$B$4:$B$23,'2018-2019'!M$4:M$23)</f>
        <v>364</v>
      </c>
      <c r="M78">
        <f>_xlfn.XLOOKUP($A78,'2018-2019'!$B$4:$B$23,'2018-2019'!N$4:N$23)</f>
        <v>99</v>
      </c>
      <c r="N78">
        <f>_xlfn.XLOOKUP($A78,'2018-2019'!$B$4:$B$23,'2018-2019'!O$4:O$23)</f>
        <v>5</v>
      </c>
      <c r="O78">
        <f>_xlfn.XLOOKUP($A78,'2018-2019'!$B$4:$B$23,'2018-2019'!P$4:P$23)</f>
        <v>10</v>
      </c>
      <c r="P78">
        <f>_xlfn.XLOOKUP($A78,'2018-2019'!$B$4:$B$23,'2018-2019'!Q$4:Q$23)</f>
        <v>34</v>
      </c>
      <c r="Q78">
        <f>_xlfn.XLOOKUP($A78,'2018-2019'!$B$4:$B$23,'2018-2019'!R$4:R$23)</f>
        <v>1</v>
      </c>
      <c r="R78">
        <f>_xlfn.XLOOKUP($A78,'2018-2019'!$B$4:$B$23,'2018-2019'!S$4:S$23)</f>
        <v>4</v>
      </c>
      <c r="S78">
        <f>_xlfn.XLOOKUP($A78,'2018-2019'!$B$4:$B$23,'2018-2019'!T$4:T$23)</f>
        <v>90</v>
      </c>
      <c r="T78">
        <f>_xlfn.XLOOKUP($A78,'2018-2019'!$B$4:$B$23,'2018-2019'!U$4:U$23)</f>
        <v>0</v>
      </c>
      <c r="U78">
        <f>_xlfn.XLOOKUP($A78,'2018-2019'!$B$4:$B$23,'2018-2019'!V$4:V$23)</f>
        <v>10</v>
      </c>
      <c r="V78">
        <f>_xlfn.XLOOKUP($A78,'2018-2019'!$B$4:$B$23,'2018-2019'!W$4:W$23)</f>
        <v>110</v>
      </c>
      <c r="W78">
        <f>_xlfn.XLOOKUP($A78,'2018-2019'!$B$4:$B$23,'2018-2019'!X$4:X$23)</f>
        <v>1001</v>
      </c>
      <c r="X78">
        <f>_xlfn.XLOOKUP($A78,'2018-2019'!$B$4:$B$23,'2018-2019'!Y$4:Y$23)</f>
        <v>679</v>
      </c>
      <c r="Y78">
        <f>_xlfn.XLOOKUP($A78,'2018-2019'!$B$4:$B$23,'2018-2019'!Z$4:Z$23)</f>
        <v>463</v>
      </c>
      <c r="Z78">
        <f>_xlfn.XLOOKUP($A78,'2018-2019'!$B$4:$B$23,'2018-2019'!AA$4:AA$23)</f>
        <v>11491</v>
      </c>
      <c r="AA78">
        <f>_xlfn.XLOOKUP($A78,'2018-2019'!$B$4:$B$23,'2018-2019'!AB$4:AB$23)</f>
        <v>15</v>
      </c>
      <c r="AB78">
        <f>_xlfn.XLOOKUP($A78,'2018-2019'!$B$4:$B$23,'2018-2019'!AC$4:AC$23)</f>
        <v>2072</v>
      </c>
      <c r="AC78">
        <f>_xlfn.XLOOKUP($A78,'2018-2019'!$B$4:$B$23,'2018-2019'!AD$4:AD$23)</f>
        <v>636</v>
      </c>
      <c r="AD78">
        <f>_xlfn.XLOOKUP($A78,'2018-2019'!$B$4:$B$23,'2018-2019'!AE$4:AE$23)</f>
        <v>156</v>
      </c>
      <c r="AE78">
        <f>_xlfn.XLOOKUP($A78,'2018-2019'!$B$4:$B$23,'2018-2019'!AF$4:AF$23)</f>
        <v>87.12</v>
      </c>
      <c r="AF78">
        <f>_xlfn.XLOOKUP($A78,'2018-2019'!$B$4:$B$23,'2018-2019'!AG$4:AG$23)</f>
        <v>13.62</v>
      </c>
      <c r="AG78">
        <f>_xlfn.XLOOKUP($A78,'2018-2019'!$B$4:$B$23,'2018-2019'!AH$4:AH$23)</f>
        <v>28</v>
      </c>
      <c r="AH78">
        <f>_xlfn.XLOOKUP($A78,'2018-2019'!$B$4:$B$23,'2018-2019'!AI$4:AI$23)</f>
        <v>29</v>
      </c>
      <c r="AI78">
        <f>_xlfn.XLOOKUP($A78,'2018-2019'!$B$4:$B$23,'2018-2019'!AJ$4:AJ$23)</f>
        <v>194.35</v>
      </c>
      <c r="AJ78">
        <f>_xlfn.XLOOKUP($A78,'2018-2019'!$B$4:$B$23,'2018-2019'!AK$4:AK$23)</f>
        <v>41</v>
      </c>
      <c r="AK78">
        <f>_xlfn.XLOOKUP($A78,'2018-2019'!$B$4:$B$23,'2018-2019'!AL$4:AL$23)</f>
        <v>4.7402439024390244</v>
      </c>
      <c r="AL78">
        <f>_xlfn.XLOOKUP($A78,'2018-2019'!$B$4:$B$23,'2018-2019'!AM$4:AM$23)</f>
        <v>30426</v>
      </c>
      <c r="AM78">
        <f>_xlfn.XLOOKUP($A78,'2018-2019'!$B$4:$B$23,'2018-2019'!AN$4:AN$23)</f>
        <v>0.08</v>
      </c>
      <c r="AN78">
        <f>_xlfn.XLOOKUP($A78,'2018-2019'!$B$4:$B$23,'2018-2019'!AO$4:AO$23)</f>
        <v>0</v>
      </c>
      <c r="AO78">
        <f>_xlfn.XLOOKUP($A78,'2018-2019'!$B$4:$B$23,'2018-2019'!AP$4:AP$23)</f>
        <v>0</v>
      </c>
      <c r="AP78">
        <f>_xlfn.XLOOKUP($A78,'2018-2019'!$B$4:$B$23,'2018-2019'!AQ$4:AQ$23)</f>
        <v>0</v>
      </c>
      <c r="AQ78">
        <f>_xlfn.XLOOKUP($A78,'2018-2019'!$B$4:$B$23,'2018-2019'!AR$4:AR$23)</f>
        <v>0</v>
      </c>
      <c r="AR78">
        <f>_xlfn.XLOOKUP($A78,'2018-2019'!$B$4:$B$23,'2018-2019'!AS$4:AS$23)</f>
        <v>0</v>
      </c>
      <c r="AS78" t="str">
        <f>_xlfn.XLOOKUP($A78,'2018-2019'!$B$4:$B$23,'2018-2019'!AT$4:AT$23)</f>
        <v>18/19</v>
      </c>
    </row>
    <row r="79" spans="1:45" x14ac:dyDescent="0.25">
      <c r="A79">
        <v>18</v>
      </c>
      <c r="B79" t="str">
        <f>_xlfn.XLOOKUP($A79,'2018-2019'!$B$4:$B$23,'2018-2019'!C$4:C$23)</f>
        <v>Cardiff City</v>
      </c>
      <c r="C79">
        <f>_xlfn.XLOOKUP($A79,'2018-2019'!$B$4:$B$23,'2018-2019'!D$4:D$23)</f>
        <v>34</v>
      </c>
      <c r="D79">
        <f>_xlfn.XLOOKUP($A79,'2018-2019'!$B$4:$B$23,'2018-2019'!E$4:E$23)</f>
        <v>69</v>
      </c>
      <c r="E79">
        <f>_xlfn.XLOOKUP($A79,'2018-2019'!$B$4:$B$23,'2018-2019'!F$4:F$23)</f>
        <v>-35</v>
      </c>
      <c r="F79">
        <f>_xlfn.XLOOKUP($A79,'2018-2019'!$B$4:$B$23,'2018-2019'!G$4:G$23)</f>
        <v>10</v>
      </c>
      <c r="G79">
        <f>_xlfn.XLOOKUP($A79,'2018-2019'!$B$4:$B$23,'2018-2019'!H$4:H$23)</f>
        <v>66</v>
      </c>
      <c r="H79">
        <f>_xlfn.XLOOKUP($A79,'2018-2019'!$B$4:$B$23,'2018-2019'!I$4:I$23)</f>
        <v>1</v>
      </c>
      <c r="I79">
        <f>_xlfn.XLOOKUP($A79,'2018-2019'!$B$4:$B$23,'2018-2019'!J$4:J$23)</f>
        <v>42.4</v>
      </c>
      <c r="J79">
        <f>_xlfn.XLOOKUP($A79,'2018-2019'!$B$4:$B$23,'2018-2019'!K$4:K$23)</f>
        <v>61.5</v>
      </c>
      <c r="K79">
        <f>_xlfn.XLOOKUP($A79,'2018-2019'!$B$4:$B$23,'2018-2019'!L$4:L$23)</f>
        <v>-8.3999999999999986</v>
      </c>
      <c r="L79">
        <f>_xlfn.XLOOKUP($A79,'2018-2019'!$B$4:$B$23,'2018-2019'!M$4:M$23)</f>
        <v>413</v>
      </c>
      <c r="M79">
        <f>_xlfn.XLOOKUP($A79,'2018-2019'!$B$4:$B$23,'2018-2019'!N$4:N$23)</f>
        <v>113</v>
      </c>
      <c r="N79">
        <f>_xlfn.XLOOKUP($A79,'2018-2019'!$B$4:$B$23,'2018-2019'!O$4:O$23)</f>
        <v>3</v>
      </c>
      <c r="O79">
        <f>_xlfn.XLOOKUP($A79,'2018-2019'!$B$4:$B$23,'2018-2019'!P$4:P$23)</f>
        <v>4</v>
      </c>
      <c r="P79">
        <f>_xlfn.XLOOKUP($A79,'2018-2019'!$B$4:$B$23,'2018-2019'!Q$4:Q$23)</f>
        <v>29</v>
      </c>
      <c r="Q79">
        <f>_xlfn.XLOOKUP($A79,'2018-2019'!$B$4:$B$23,'2018-2019'!R$4:R$23)</f>
        <v>5</v>
      </c>
      <c r="R79">
        <f>_xlfn.XLOOKUP($A79,'2018-2019'!$B$4:$B$23,'2018-2019'!S$4:S$23)</f>
        <v>0</v>
      </c>
      <c r="S79">
        <f>_xlfn.XLOOKUP($A79,'2018-2019'!$B$4:$B$23,'2018-2019'!T$4:T$23)</f>
        <v>77</v>
      </c>
      <c r="T79">
        <f>_xlfn.XLOOKUP($A79,'2018-2019'!$B$4:$B$23,'2018-2019'!U$4:U$23)</f>
        <v>0</v>
      </c>
      <c r="U79">
        <f>_xlfn.XLOOKUP($A79,'2018-2019'!$B$4:$B$23,'2018-2019'!V$4:V$23)</f>
        <v>7</v>
      </c>
      <c r="V79">
        <f>_xlfn.XLOOKUP($A79,'2018-2019'!$B$4:$B$23,'2018-2019'!W$4:W$23)</f>
        <v>135</v>
      </c>
      <c r="W79">
        <f>_xlfn.XLOOKUP($A79,'2018-2019'!$B$4:$B$23,'2018-2019'!X$4:X$23)</f>
        <v>1034</v>
      </c>
      <c r="X79">
        <f>_xlfn.XLOOKUP($A79,'2018-2019'!$B$4:$B$23,'2018-2019'!Y$4:Y$23)</f>
        <v>655</v>
      </c>
      <c r="Y79">
        <f>_xlfn.XLOOKUP($A79,'2018-2019'!$B$4:$B$23,'2018-2019'!Z$4:Z$23)</f>
        <v>374</v>
      </c>
      <c r="Z79">
        <f>_xlfn.XLOOKUP($A79,'2018-2019'!$B$4:$B$23,'2018-2019'!AA$4:AA$23)</f>
        <v>7170</v>
      </c>
      <c r="AA79">
        <f>_xlfn.XLOOKUP($A79,'2018-2019'!$B$4:$B$23,'2018-2019'!AB$4:AB$23)</f>
        <v>39</v>
      </c>
      <c r="AB79">
        <f>_xlfn.XLOOKUP($A79,'2018-2019'!$B$4:$B$23,'2018-2019'!AC$4:AC$23)</f>
        <v>1418</v>
      </c>
      <c r="AC79">
        <f>_xlfn.XLOOKUP($A79,'2018-2019'!$B$4:$B$23,'2018-2019'!AD$4:AD$23)</f>
        <v>562</v>
      </c>
      <c r="AD79">
        <f>_xlfn.XLOOKUP($A79,'2018-2019'!$B$4:$B$23,'2018-2019'!AE$4:AE$23)</f>
        <v>168</v>
      </c>
      <c r="AE79">
        <f>_xlfn.XLOOKUP($A79,'2018-2019'!$B$4:$B$23,'2018-2019'!AF$4:AF$23)</f>
        <v>51.2</v>
      </c>
      <c r="AF79">
        <f>_xlfn.XLOOKUP($A79,'2018-2019'!$B$4:$B$23,'2018-2019'!AG$4:AG$23)</f>
        <v>0</v>
      </c>
      <c r="AG79">
        <f>_xlfn.XLOOKUP($A79,'2018-2019'!$B$4:$B$23,'2018-2019'!AH$4:AH$23)</f>
        <v>18</v>
      </c>
      <c r="AH79">
        <f>_xlfn.XLOOKUP($A79,'2018-2019'!$B$4:$B$23,'2018-2019'!AI$4:AI$23)</f>
        <v>18</v>
      </c>
      <c r="AI79">
        <f>_xlfn.XLOOKUP($A79,'2018-2019'!$B$4:$B$23,'2018-2019'!AJ$4:AJ$23)</f>
        <v>113</v>
      </c>
      <c r="AJ79">
        <f>_xlfn.XLOOKUP($A79,'2018-2019'!$B$4:$B$23,'2018-2019'!AK$4:AK$23)</f>
        <v>35</v>
      </c>
      <c r="AK79">
        <f>_xlfn.XLOOKUP($A79,'2018-2019'!$B$4:$B$23,'2018-2019'!AL$4:AL$23)</f>
        <v>3.2285714285714286</v>
      </c>
      <c r="AL79">
        <f>_xlfn.XLOOKUP($A79,'2018-2019'!$B$4:$B$23,'2018-2019'!AM$4:AM$23)</f>
        <v>31408</v>
      </c>
      <c r="AM79">
        <f>_xlfn.XLOOKUP($A79,'2018-2019'!$B$4:$B$23,'2018-2019'!AN$4:AN$23)</f>
        <v>0.08</v>
      </c>
      <c r="AN79">
        <f>_xlfn.XLOOKUP($A79,'2018-2019'!$B$4:$B$23,'2018-2019'!AO$4:AO$23)</f>
        <v>0</v>
      </c>
      <c r="AO79">
        <f>_xlfn.XLOOKUP($A79,'2018-2019'!$B$4:$B$23,'2018-2019'!AP$4:AP$23)</f>
        <v>1</v>
      </c>
      <c r="AP79">
        <f>_xlfn.XLOOKUP($A79,'2018-2019'!$B$4:$B$23,'2018-2019'!AQ$4:AQ$23)</f>
        <v>0</v>
      </c>
      <c r="AQ79">
        <f>_xlfn.XLOOKUP($A79,'2018-2019'!$B$4:$B$23,'2018-2019'!AR$4:AR$23)</f>
        <v>1</v>
      </c>
      <c r="AR79">
        <f>_xlfn.XLOOKUP($A79,'2018-2019'!$B$4:$B$23,'2018-2019'!AS$4:AS$23)</f>
        <v>0</v>
      </c>
      <c r="AS79" t="str">
        <f>_xlfn.XLOOKUP($A79,'2018-2019'!$B$4:$B$23,'2018-2019'!AT$4:AT$23)</f>
        <v>18/19</v>
      </c>
    </row>
    <row r="80" spans="1:45" x14ac:dyDescent="0.25">
      <c r="A80">
        <v>19</v>
      </c>
      <c r="B80" t="str">
        <f>_xlfn.XLOOKUP($A80,'2018-2019'!$B$4:$B$23,'2018-2019'!C$4:C$23)</f>
        <v>Fulham</v>
      </c>
      <c r="C80">
        <f>_xlfn.XLOOKUP($A80,'2018-2019'!$B$4:$B$23,'2018-2019'!D$4:D$23)</f>
        <v>34</v>
      </c>
      <c r="D80">
        <f>_xlfn.XLOOKUP($A80,'2018-2019'!$B$4:$B$23,'2018-2019'!E$4:E$23)</f>
        <v>81</v>
      </c>
      <c r="E80">
        <f>_xlfn.XLOOKUP($A80,'2018-2019'!$B$4:$B$23,'2018-2019'!F$4:F$23)</f>
        <v>-47</v>
      </c>
      <c r="F80">
        <f>_xlfn.XLOOKUP($A80,'2018-2019'!$B$4:$B$23,'2018-2019'!G$4:G$23)</f>
        <v>5</v>
      </c>
      <c r="G80">
        <f>_xlfn.XLOOKUP($A80,'2018-2019'!$B$4:$B$23,'2018-2019'!H$4:H$23)</f>
        <v>68</v>
      </c>
      <c r="H80">
        <f>_xlfn.XLOOKUP($A80,'2018-2019'!$B$4:$B$23,'2018-2019'!I$4:I$23)</f>
        <v>2</v>
      </c>
      <c r="I80">
        <f>_xlfn.XLOOKUP($A80,'2018-2019'!$B$4:$B$23,'2018-2019'!J$4:J$23)</f>
        <v>41.3</v>
      </c>
      <c r="J80">
        <f>_xlfn.XLOOKUP($A80,'2018-2019'!$B$4:$B$23,'2018-2019'!K$4:K$23)</f>
        <v>68.2</v>
      </c>
      <c r="K80">
        <f>_xlfn.XLOOKUP($A80,'2018-2019'!$B$4:$B$23,'2018-2019'!L$4:L$23)</f>
        <v>-7.2999999999999972</v>
      </c>
      <c r="L80">
        <f>_xlfn.XLOOKUP($A80,'2018-2019'!$B$4:$B$23,'2018-2019'!M$4:M$23)</f>
        <v>451</v>
      </c>
      <c r="M80">
        <f>_xlfn.XLOOKUP($A80,'2018-2019'!$B$4:$B$23,'2018-2019'!N$4:N$23)</f>
        <v>140</v>
      </c>
      <c r="N80">
        <f>_xlfn.XLOOKUP($A80,'2018-2019'!$B$4:$B$23,'2018-2019'!O$4:O$23)</f>
        <v>2</v>
      </c>
      <c r="O80">
        <f>_xlfn.XLOOKUP($A80,'2018-2019'!$B$4:$B$23,'2018-2019'!P$4:P$23)</f>
        <v>7</v>
      </c>
      <c r="P80">
        <f>_xlfn.XLOOKUP($A80,'2018-2019'!$B$4:$B$23,'2018-2019'!Q$4:Q$23)</f>
        <v>30</v>
      </c>
      <c r="Q80">
        <f>_xlfn.XLOOKUP($A80,'2018-2019'!$B$4:$B$23,'2018-2019'!R$4:R$23)</f>
        <v>4</v>
      </c>
      <c r="R80">
        <f>_xlfn.XLOOKUP($A80,'2018-2019'!$B$4:$B$23,'2018-2019'!S$4:S$23)</f>
        <v>2</v>
      </c>
      <c r="S80">
        <f>_xlfn.XLOOKUP($A80,'2018-2019'!$B$4:$B$23,'2018-2019'!T$4:T$23)</f>
        <v>90</v>
      </c>
      <c r="T80">
        <f>_xlfn.XLOOKUP($A80,'2018-2019'!$B$4:$B$23,'2018-2019'!U$4:U$23)</f>
        <v>2</v>
      </c>
      <c r="U80">
        <f>_xlfn.XLOOKUP($A80,'2018-2019'!$B$4:$B$23,'2018-2019'!V$4:V$23)</f>
        <v>7</v>
      </c>
      <c r="V80">
        <f>_xlfn.XLOOKUP($A80,'2018-2019'!$B$4:$B$23,'2018-2019'!W$4:W$23)</f>
        <v>146</v>
      </c>
      <c r="W80">
        <f>_xlfn.XLOOKUP($A80,'2018-2019'!$B$4:$B$23,'2018-2019'!X$4:X$23)</f>
        <v>1030</v>
      </c>
      <c r="X80">
        <f>_xlfn.XLOOKUP($A80,'2018-2019'!$B$4:$B$23,'2018-2019'!Y$4:Y$23)</f>
        <v>596</v>
      </c>
      <c r="Y80">
        <f>_xlfn.XLOOKUP($A80,'2018-2019'!$B$4:$B$23,'2018-2019'!Z$4:Z$23)</f>
        <v>423</v>
      </c>
      <c r="Z80">
        <f>_xlfn.XLOOKUP($A80,'2018-2019'!$B$4:$B$23,'2018-2019'!AA$4:AA$23)</f>
        <v>15096</v>
      </c>
      <c r="AA80">
        <f>_xlfn.XLOOKUP($A80,'2018-2019'!$B$4:$B$23,'2018-2019'!AB$4:AB$23)</f>
        <v>33</v>
      </c>
      <c r="AB80">
        <f>_xlfn.XLOOKUP($A80,'2018-2019'!$B$4:$B$23,'2018-2019'!AC$4:AC$23)</f>
        <v>2750</v>
      </c>
      <c r="AC80">
        <f>_xlfn.XLOOKUP($A80,'2018-2019'!$B$4:$B$23,'2018-2019'!AD$4:AD$23)</f>
        <v>611</v>
      </c>
      <c r="AD80">
        <f>_xlfn.XLOOKUP($A80,'2018-2019'!$B$4:$B$23,'2018-2019'!AE$4:AE$23)</f>
        <v>161</v>
      </c>
      <c r="AE80">
        <f>_xlfn.XLOOKUP($A80,'2018-2019'!$B$4:$B$23,'2018-2019'!AF$4:AF$23)</f>
        <v>116.5</v>
      </c>
      <c r="AF80">
        <f>_xlfn.XLOOKUP($A80,'2018-2019'!$B$4:$B$23,'2018-2019'!AG$4:AG$23)</f>
        <v>5.35</v>
      </c>
      <c r="AG80">
        <f>_xlfn.XLOOKUP($A80,'2018-2019'!$B$4:$B$23,'2018-2019'!AH$4:AH$23)</f>
        <v>18</v>
      </c>
      <c r="AH80">
        <f>_xlfn.XLOOKUP($A80,'2018-2019'!$B$4:$B$23,'2018-2019'!AI$4:AI$23)</f>
        <v>11</v>
      </c>
      <c r="AI80">
        <f>_xlfn.XLOOKUP($A80,'2018-2019'!$B$4:$B$23,'2018-2019'!AJ$4:AJ$23)</f>
        <v>254.25</v>
      </c>
      <c r="AJ80">
        <f>_xlfn.XLOOKUP($A80,'2018-2019'!$B$4:$B$23,'2018-2019'!AK$4:AK$23)</f>
        <v>33</v>
      </c>
      <c r="AK80">
        <f>_xlfn.XLOOKUP($A80,'2018-2019'!$B$4:$B$23,'2018-2019'!AL$4:AL$23)</f>
        <v>7.7045454545454541</v>
      </c>
      <c r="AL80">
        <f>_xlfn.XLOOKUP($A80,'2018-2019'!$B$4:$B$23,'2018-2019'!AM$4:AM$23)</f>
        <v>24371</v>
      </c>
      <c r="AM80">
        <f>_xlfn.XLOOKUP($A80,'2018-2019'!$B$4:$B$23,'2018-2019'!AN$4:AN$23)</f>
        <v>0.21</v>
      </c>
      <c r="AN80">
        <f>_xlfn.XLOOKUP($A80,'2018-2019'!$B$4:$B$23,'2018-2019'!AO$4:AO$23)</f>
        <v>0</v>
      </c>
      <c r="AO80">
        <f>_xlfn.XLOOKUP($A80,'2018-2019'!$B$4:$B$23,'2018-2019'!AP$4:AP$23)</f>
        <v>1</v>
      </c>
      <c r="AP80">
        <f>_xlfn.XLOOKUP($A80,'2018-2019'!$B$4:$B$23,'2018-2019'!AQ$4:AQ$23)</f>
        <v>0</v>
      </c>
      <c r="AQ80">
        <f>_xlfn.XLOOKUP($A80,'2018-2019'!$B$4:$B$23,'2018-2019'!AR$4:AR$23)</f>
        <v>1</v>
      </c>
      <c r="AR80">
        <f>_xlfn.XLOOKUP($A80,'2018-2019'!$B$4:$B$23,'2018-2019'!AS$4:AS$23)</f>
        <v>0</v>
      </c>
      <c r="AS80" t="str">
        <f>_xlfn.XLOOKUP($A80,'2018-2019'!$B$4:$B$23,'2018-2019'!AT$4:AT$23)</f>
        <v>18/19</v>
      </c>
    </row>
    <row r="81" spans="1:45" x14ac:dyDescent="0.25">
      <c r="A81">
        <v>20</v>
      </c>
      <c r="B81" t="str">
        <f>_xlfn.XLOOKUP($A81,'2018-2019'!$B$4:$B$23,'2018-2019'!C$4:C$23)</f>
        <v>Huddersfield Town</v>
      </c>
      <c r="C81">
        <f>_xlfn.XLOOKUP($A81,'2018-2019'!$B$4:$B$23,'2018-2019'!D$4:D$23)</f>
        <v>22</v>
      </c>
      <c r="D81">
        <f>_xlfn.XLOOKUP($A81,'2018-2019'!$B$4:$B$23,'2018-2019'!E$4:E$23)</f>
        <v>76</v>
      </c>
      <c r="E81">
        <f>_xlfn.XLOOKUP($A81,'2018-2019'!$B$4:$B$23,'2018-2019'!F$4:F$23)</f>
        <v>-54</v>
      </c>
      <c r="F81">
        <f>_xlfn.XLOOKUP($A81,'2018-2019'!$B$4:$B$23,'2018-2019'!G$4:G$23)</f>
        <v>5</v>
      </c>
      <c r="G81">
        <f>_xlfn.XLOOKUP($A81,'2018-2019'!$B$4:$B$23,'2018-2019'!H$4:H$23)</f>
        <v>55</v>
      </c>
      <c r="H81">
        <f>_xlfn.XLOOKUP($A81,'2018-2019'!$B$4:$B$23,'2018-2019'!I$4:I$23)</f>
        <v>4</v>
      </c>
      <c r="I81">
        <f>_xlfn.XLOOKUP($A81,'2018-2019'!$B$4:$B$23,'2018-2019'!J$4:J$23)</f>
        <v>28.8</v>
      </c>
      <c r="J81">
        <f>_xlfn.XLOOKUP($A81,'2018-2019'!$B$4:$B$23,'2018-2019'!K$4:K$23)</f>
        <v>60.9</v>
      </c>
      <c r="K81">
        <f>_xlfn.XLOOKUP($A81,'2018-2019'!$B$4:$B$23,'2018-2019'!L$4:L$23)</f>
        <v>-6.8000000000000007</v>
      </c>
      <c r="L81">
        <f>_xlfn.XLOOKUP($A81,'2018-2019'!$B$4:$B$23,'2018-2019'!M$4:M$23)</f>
        <v>400</v>
      </c>
      <c r="M81">
        <f>_xlfn.XLOOKUP($A81,'2018-2019'!$B$4:$B$23,'2018-2019'!N$4:N$23)</f>
        <v>116</v>
      </c>
      <c r="N81">
        <f>_xlfn.XLOOKUP($A81,'2018-2019'!$B$4:$B$23,'2018-2019'!O$4:O$23)</f>
        <v>1</v>
      </c>
      <c r="O81">
        <f>_xlfn.XLOOKUP($A81,'2018-2019'!$B$4:$B$23,'2018-2019'!P$4:P$23)</f>
        <v>8</v>
      </c>
      <c r="P81">
        <f>_xlfn.XLOOKUP($A81,'2018-2019'!$B$4:$B$23,'2018-2019'!Q$4:Q$23)</f>
        <v>17</v>
      </c>
      <c r="Q81">
        <f>_xlfn.XLOOKUP($A81,'2018-2019'!$B$4:$B$23,'2018-2019'!R$4:R$23)</f>
        <v>5</v>
      </c>
      <c r="R81">
        <f>_xlfn.XLOOKUP($A81,'2018-2019'!$B$4:$B$23,'2018-2019'!S$4:S$23)</f>
        <v>1</v>
      </c>
      <c r="S81">
        <f>_xlfn.XLOOKUP($A81,'2018-2019'!$B$4:$B$23,'2018-2019'!T$4:T$23)</f>
        <v>63</v>
      </c>
      <c r="T81">
        <f>_xlfn.XLOOKUP($A81,'2018-2019'!$B$4:$B$23,'2018-2019'!U$4:U$23)</f>
        <v>1</v>
      </c>
      <c r="U81">
        <f>_xlfn.XLOOKUP($A81,'2018-2019'!$B$4:$B$23,'2018-2019'!V$4:V$23)</f>
        <v>8</v>
      </c>
      <c r="V81">
        <f>_xlfn.XLOOKUP($A81,'2018-2019'!$B$4:$B$23,'2018-2019'!W$4:W$23)</f>
        <v>110</v>
      </c>
      <c r="W81">
        <f>_xlfn.XLOOKUP($A81,'2018-2019'!$B$4:$B$23,'2018-2019'!X$4:X$23)</f>
        <v>682</v>
      </c>
      <c r="X81">
        <f>_xlfn.XLOOKUP($A81,'2018-2019'!$B$4:$B$23,'2018-2019'!Y$4:Y$23)</f>
        <v>708</v>
      </c>
      <c r="Y81">
        <f>_xlfn.XLOOKUP($A81,'2018-2019'!$B$4:$B$23,'2018-2019'!Z$4:Z$23)</f>
        <v>420</v>
      </c>
      <c r="Z81">
        <f>_xlfn.XLOOKUP($A81,'2018-2019'!$B$4:$B$23,'2018-2019'!AA$4:AA$23)</f>
        <v>13045</v>
      </c>
      <c r="AA81">
        <f>_xlfn.XLOOKUP($A81,'2018-2019'!$B$4:$B$23,'2018-2019'!AB$4:AB$23)</f>
        <v>23</v>
      </c>
      <c r="AB81">
        <f>_xlfn.XLOOKUP($A81,'2018-2019'!$B$4:$B$23,'2018-2019'!AC$4:AC$23)</f>
        <v>2492</v>
      </c>
      <c r="AC81">
        <f>_xlfn.XLOOKUP($A81,'2018-2019'!$B$4:$B$23,'2018-2019'!AD$4:AD$23)</f>
        <v>768</v>
      </c>
      <c r="AD81">
        <f>_xlfn.XLOOKUP($A81,'2018-2019'!$B$4:$B$23,'2018-2019'!AE$4:AE$23)</f>
        <v>162</v>
      </c>
      <c r="AE81">
        <f>_xlfn.XLOOKUP($A81,'2018-2019'!$B$4:$B$23,'2018-2019'!AF$4:AF$23)</f>
        <v>50.7</v>
      </c>
      <c r="AF81">
        <f>_xlfn.XLOOKUP($A81,'2018-2019'!$B$4:$B$23,'2018-2019'!AG$4:AG$23)</f>
        <v>12.33</v>
      </c>
      <c r="AG81">
        <f>_xlfn.XLOOKUP($A81,'2018-2019'!$B$4:$B$23,'2018-2019'!AH$4:AH$23)</f>
        <v>14</v>
      </c>
      <c r="AH81">
        <f>_xlfn.XLOOKUP($A81,'2018-2019'!$B$4:$B$23,'2018-2019'!AI$4:AI$23)</f>
        <v>16</v>
      </c>
      <c r="AI81">
        <f>_xlfn.XLOOKUP($A81,'2018-2019'!$B$4:$B$23,'2018-2019'!AJ$4:AJ$23)</f>
        <v>137.44999999999999</v>
      </c>
      <c r="AJ81">
        <f>_xlfn.XLOOKUP($A81,'2018-2019'!$B$4:$B$23,'2018-2019'!AK$4:AK$23)</f>
        <v>33</v>
      </c>
      <c r="AK81">
        <f>_xlfn.XLOOKUP($A81,'2018-2019'!$B$4:$B$23,'2018-2019'!AL$4:AL$23)</f>
        <v>4.165151515151515</v>
      </c>
      <c r="AL81">
        <f>_xlfn.XLOOKUP($A81,'2018-2019'!$B$4:$B$23,'2018-2019'!AM$4:AM$23)</f>
        <v>23203</v>
      </c>
      <c r="AM81">
        <f>_xlfn.XLOOKUP($A81,'2018-2019'!$B$4:$B$23,'2018-2019'!AN$4:AN$23)</f>
        <v>0.05</v>
      </c>
      <c r="AN81">
        <f>_xlfn.XLOOKUP($A81,'2018-2019'!$B$4:$B$23,'2018-2019'!AO$4:AO$23)</f>
        <v>0</v>
      </c>
      <c r="AO81">
        <f>_xlfn.XLOOKUP($A81,'2018-2019'!$B$4:$B$23,'2018-2019'!AP$4:AP$23)</f>
        <v>0</v>
      </c>
      <c r="AP81">
        <f>_xlfn.XLOOKUP($A81,'2018-2019'!$B$4:$B$23,'2018-2019'!AQ$4:AQ$23)</f>
        <v>0</v>
      </c>
      <c r="AQ81">
        <f>_xlfn.XLOOKUP($A81,'2018-2019'!$B$4:$B$23,'2018-2019'!AR$4:AR$23)</f>
        <v>1</v>
      </c>
      <c r="AR81">
        <f>_xlfn.XLOOKUP($A81,'2018-2019'!$B$4:$B$23,'2018-2019'!AS$4:AS$23)</f>
        <v>0</v>
      </c>
      <c r="AS81" t="str">
        <f>_xlfn.XLOOKUP($A81,'2018-2019'!$B$4:$B$23,'2018-2019'!AT$4:AT$23)</f>
        <v>18/19</v>
      </c>
    </row>
    <row r="82" spans="1:45" x14ac:dyDescent="0.25">
      <c r="A82">
        <v>1</v>
      </c>
      <c r="B82" t="str">
        <f>_xlfn.XLOOKUP($A82,'2019-2020'!$B$4:$B$23,'2019-2020'!C$4:C$23)</f>
        <v>Liverpool</v>
      </c>
      <c r="C82">
        <f>_xlfn.XLOOKUP($A82,'2019-2020'!$B$4:$B$23,'2019-2020'!D$4:D$23)</f>
        <v>85</v>
      </c>
      <c r="D82">
        <f>_xlfn.XLOOKUP($A82,'2019-2020'!$B$4:$B$23,'2019-2020'!E$4:E$23)</f>
        <v>33</v>
      </c>
      <c r="E82">
        <f>_xlfn.XLOOKUP($A82,'2019-2020'!$B$4:$B$23,'2019-2020'!F$4:F$23)</f>
        <v>52</v>
      </c>
      <c r="F82">
        <f>_xlfn.XLOOKUP($A82,'2019-2020'!$B$4:$B$23,'2019-2020'!G$4:G$23)</f>
        <v>15</v>
      </c>
      <c r="G82">
        <f>_xlfn.XLOOKUP($A82,'2019-2020'!$B$4:$B$23,'2019-2020'!H$4:H$23)</f>
        <v>38</v>
      </c>
      <c r="H82">
        <f>_xlfn.XLOOKUP($A82,'2019-2020'!$B$4:$B$23,'2019-2020'!I$4:I$23)</f>
        <v>1</v>
      </c>
      <c r="I82">
        <f>_xlfn.XLOOKUP($A82,'2019-2020'!$B$4:$B$23,'2019-2020'!J$4:J$23)</f>
        <v>68.900000000000006</v>
      </c>
      <c r="J82">
        <f>_xlfn.XLOOKUP($A82,'2019-2020'!$B$4:$B$23,'2019-2020'!K$4:K$23)</f>
        <v>37.700000000000003</v>
      </c>
      <c r="K82">
        <f>_xlfn.XLOOKUP($A82,'2019-2020'!$B$4:$B$23,'2019-2020'!L$4:L$23)</f>
        <v>16.099999999999994</v>
      </c>
      <c r="L82">
        <f>_xlfn.XLOOKUP($A82,'2019-2020'!$B$4:$B$23,'2019-2020'!M$4:M$23)</f>
        <v>586</v>
      </c>
      <c r="M82">
        <f>_xlfn.XLOOKUP($A82,'2019-2020'!$B$4:$B$23,'2019-2020'!N$4:N$23)</f>
        <v>224</v>
      </c>
      <c r="N82">
        <f>_xlfn.XLOOKUP($A82,'2019-2020'!$B$4:$B$23,'2019-2020'!O$4:O$23)</f>
        <v>5</v>
      </c>
      <c r="O82">
        <f>_xlfn.XLOOKUP($A82,'2019-2020'!$B$4:$B$23,'2019-2020'!P$4:P$23)</f>
        <v>19</v>
      </c>
      <c r="P82">
        <f>_xlfn.XLOOKUP($A82,'2019-2020'!$B$4:$B$23,'2019-2020'!Q$4:Q$23)</f>
        <v>72</v>
      </c>
      <c r="Q82">
        <f>_xlfn.XLOOKUP($A82,'2019-2020'!$B$4:$B$23,'2019-2020'!R$4:R$23)</f>
        <v>14</v>
      </c>
      <c r="R82">
        <f>_xlfn.XLOOKUP($A82,'2019-2020'!$B$4:$B$23,'2019-2020'!S$4:S$23)</f>
        <v>11</v>
      </c>
      <c r="S82">
        <f>_xlfn.XLOOKUP($A82,'2019-2020'!$B$4:$B$23,'2019-2020'!T$4:T$23)</f>
        <v>53</v>
      </c>
      <c r="T82">
        <f>_xlfn.XLOOKUP($A82,'2019-2020'!$B$4:$B$23,'2019-2020'!U$4:U$23)</f>
        <v>1</v>
      </c>
      <c r="U82">
        <f>_xlfn.XLOOKUP($A82,'2019-2020'!$B$4:$B$23,'2019-2020'!V$4:V$23)</f>
        <v>1</v>
      </c>
      <c r="V82">
        <f>_xlfn.XLOOKUP($A82,'2019-2020'!$B$4:$B$23,'2019-2020'!W$4:W$23)</f>
        <v>75</v>
      </c>
      <c r="W82">
        <f>_xlfn.XLOOKUP($A82,'2019-2020'!$B$4:$B$23,'2019-2020'!X$4:X$23)</f>
        <v>634</v>
      </c>
      <c r="X82">
        <f>_xlfn.XLOOKUP($A82,'2019-2020'!$B$4:$B$23,'2019-2020'!Y$4:Y$23)</f>
        <v>550</v>
      </c>
      <c r="Y82">
        <f>_xlfn.XLOOKUP($A82,'2019-2020'!$B$4:$B$23,'2019-2020'!Z$4:Z$23)</f>
        <v>331</v>
      </c>
      <c r="Z82">
        <f>_xlfn.XLOOKUP($A82,'2019-2020'!$B$4:$B$23,'2019-2020'!AA$4:AA$23)</f>
        <v>21276</v>
      </c>
      <c r="AA82">
        <f>_xlfn.XLOOKUP($A82,'2019-2020'!$B$4:$B$23,'2019-2020'!AB$4:AB$23)</f>
        <v>68</v>
      </c>
      <c r="AB82">
        <f>_xlfn.XLOOKUP($A82,'2019-2020'!$B$4:$B$23,'2019-2020'!AC$4:AC$23)</f>
        <v>3395</v>
      </c>
      <c r="AC82">
        <f>_xlfn.XLOOKUP($A82,'2019-2020'!$B$4:$B$23,'2019-2020'!AD$4:AD$23)</f>
        <v>896</v>
      </c>
      <c r="AD82">
        <f>_xlfn.XLOOKUP($A82,'2019-2020'!$B$4:$B$23,'2019-2020'!AE$4:AE$23)</f>
        <v>257</v>
      </c>
      <c r="AE82">
        <f>_xlfn.XLOOKUP($A82,'2019-2020'!$B$4:$B$23,'2019-2020'!AF$4:AF$23)</f>
        <v>10.4</v>
      </c>
      <c r="AF82">
        <f>_xlfn.XLOOKUP($A82,'2019-2020'!$B$4:$B$23,'2019-2020'!AG$4:AG$23)</f>
        <v>44.5</v>
      </c>
      <c r="AG82">
        <f>_xlfn.XLOOKUP($A82,'2019-2020'!$B$4:$B$23,'2019-2020'!AH$4:AH$23)</f>
        <v>15</v>
      </c>
      <c r="AH82">
        <f>_xlfn.XLOOKUP($A82,'2019-2020'!$B$4:$B$23,'2019-2020'!AI$4:AI$23)</f>
        <v>16</v>
      </c>
      <c r="AI82">
        <f>_xlfn.XLOOKUP($A82,'2019-2020'!$B$4:$B$23,'2019-2020'!AJ$4:AJ$23)</f>
        <v>1000</v>
      </c>
      <c r="AJ82">
        <f>_xlfn.XLOOKUP($A82,'2019-2020'!$B$4:$B$23,'2019-2020'!AK$4:AK$23)</f>
        <v>56</v>
      </c>
      <c r="AK82">
        <f>_xlfn.XLOOKUP($A82,'2019-2020'!$B$4:$B$23,'2019-2020'!AL$4:AL$23)</f>
        <v>17.857142857142858</v>
      </c>
      <c r="AL82">
        <f>_xlfn.XLOOKUP($A82,'2019-2020'!$B$4:$B$23,'2019-2020'!AM$4:AM$23)</f>
        <v>41955</v>
      </c>
      <c r="AM82">
        <f>_xlfn.XLOOKUP($A82,'2019-2020'!$B$4:$B$23,'2019-2020'!AN$4:AN$23)</f>
        <v>0.13</v>
      </c>
      <c r="AN82">
        <f>_xlfn.XLOOKUP($A82,'2019-2020'!$B$4:$B$23,'2019-2020'!AO$4:AO$23)</f>
        <v>1</v>
      </c>
      <c r="AO82">
        <f>_xlfn.XLOOKUP($A82,'2019-2020'!$B$4:$B$23,'2019-2020'!AP$4:AP$23)</f>
        <v>0</v>
      </c>
      <c r="AP82">
        <f>_xlfn.XLOOKUP($A82,'2019-2020'!$B$4:$B$23,'2019-2020'!AQ$4:AQ$23)</f>
        <v>1</v>
      </c>
      <c r="AQ82">
        <f>_xlfn.XLOOKUP($A82,'2019-2020'!$B$4:$B$23,'2019-2020'!AR$4:AR$23)</f>
        <v>0</v>
      </c>
      <c r="AR82">
        <f>_xlfn.XLOOKUP($A82,'2019-2020'!$B$4:$B$23,'2019-2020'!AS$4:AS$23)</f>
        <v>1</v>
      </c>
      <c r="AS82" t="str">
        <f>_xlfn.XLOOKUP($A82,'2019-2020'!$B$4:$B$23,'2019-2020'!AT$4:AT$23)</f>
        <v>19/20</v>
      </c>
    </row>
    <row r="83" spans="1:45" x14ac:dyDescent="0.25">
      <c r="A83">
        <v>2</v>
      </c>
      <c r="B83" t="str">
        <f>_xlfn.XLOOKUP($A83,'2019-2020'!$B$4:$B$23,'2019-2020'!C$4:C$23)</f>
        <v>Manchester City</v>
      </c>
      <c r="C83">
        <f>_xlfn.XLOOKUP($A83,'2019-2020'!$B$4:$B$23,'2019-2020'!D$4:D$23)</f>
        <v>102</v>
      </c>
      <c r="D83">
        <f>_xlfn.XLOOKUP($A83,'2019-2020'!$B$4:$B$23,'2019-2020'!E$4:E$23)</f>
        <v>35</v>
      </c>
      <c r="E83">
        <f>_xlfn.XLOOKUP($A83,'2019-2020'!$B$4:$B$23,'2019-2020'!F$4:F$23)</f>
        <v>67</v>
      </c>
      <c r="F83">
        <f>_xlfn.XLOOKUP($A83,'2019-2020'!$B$4:$B$23,'2019-2020'!G$4:G$23)</f>
        <v>17</v>
      </c>
      <c r="G83">
        <f>_xlfn.XLOOKUP($A83,'2019-2020'!$B$4:$B$23,'2019-2020'!H$4:H$23)</f>
        <v>60</v>
      </c>
      <c r="H83">
        <f>_xlfn.XLOOKUP($A83,'2019-2020'!$B$4:$B$23,'2019-2020'!I$4:I$23)</f>
        <v>4</v>
      </c>
      <c r="I83">
        <f>_xlfn.XLOOKUP($A83,'2019-2020'!$B$4:$B$23,'2019-2020'!J$4:J$23)</f>
        <v>92</v>
      </c>
      <c r="J83">
        <f>_xlfn.XLOOKUP($A83,'2019-2020'!$B$4:$B$23,'2019-2020'!K$4:K$23)</f>
        <v>36.200000000000003</v>
      </c>
      <c r="K83">
        <f>_xlfn.XLOOKUP($A83,'2019-2020'!$B$4:$B$23,'2019-2020'!L$4:L$23)</f>
        <v>10</v>
      </c>
      <c r="L83">
        <f>_xlfn.XLOOKUP($A83,'2019-2020'!$B$4:$B$23,'2019-2020'!M$4:M$23)</f>
        <v>735</v>
      </c>
      <c r="M83">
        <f>_xlfn.XLOOKUP($A83,'2019-2020'!$B$4:$B$23,'2019-2020'!N$4:N$23)</f>
        <v>250</v>
      </c>
      <c r="N83">
        <f>_xlfn.XLOOKUP($A83,'2019-2020'!$B$4:$B$23,'2019-2020'!O$4:O$23)</f>
        <v>6</v>
      </c>
      <c r="O83">
        <f>_xlfn.XLOOKUP($A83,'2019-2020'!$B$4:$B$23,'2019-2020'!P$4:P$23)</f>
        <v>11</v>
      </c>
      <c r="P83">
        <f>_xlfn.XLOOKUP($A83,'2019-2020'!$B$4:$B$23,'2019-2020'!Q$4:Q$23)</f>
        <v>85</v>
      </c>
      <c r="Q83">
        <f>_xlfn.XLOOKUP($A83,'2019-2020'!$B$4:$B$23,'2019-2020'!R$4:R$23)</f>
        <v>18</v>
      </c>
      <c r="R83">
        <f>_xlfn.XLOOKUP($A83,'2019-2020'!$B$4:$B$23,'2019-2020'!S$4:S$23)</f>
        <v>4</v>
      </c>
      <c r="S83">
        <f>_xlfn.XLOOKUP($A83,'2019-2020'!$B$4:$B$23,'2019-2020'!T$4:T$23)</f>
        <v>68</v>
      </c>
      <c r="T83">
        <f>_xlfn.XLOOKUP($A83,'2019-2020'!$B$4:$B$23,'2019-2020'!U$4:U$23)</f>
        <v>1</v>
      </c>
      <c r="U83">
        <f>_xlfn.XLOOKUP($A83,'2019-2020'!$B$4:$B$23,'2019-2020'!V$4:V$23)</f>
        <v>3</v>
      </c>
      <c r="V83">
        <f>_xlfn.XLOOKUP($A83,'2019-2020'!$B$4:$B$23,'2019-2020'!W$4:W$23)</f>
        <v>76</v>
      </c>
      <c r="W83">
        <f>_xlfn.XLOOKUP($A83,'2019-2020'!$B$4:$B$23,'2019-2020'!X$4:X$23)</f>
        <v>495</v>
      </c>
      <c r="X83">
        <f>_xlfn.XLOOKUP($A83,'2019-2020'!$B$4:$B$23,'2019-2020'!Y$4:Y$23)</f>
        <v>514</v>
      </c>
      <c r="Y83">
        <f>_xlfn.XLOOKUP($A83,'2019-2020'!$B$4:$B$23,'2019-2020'!Z$4:Z$23)</f>
        <v>362</v>
      </c>
      <c r="Z83">
        <f>_xlfn.XLOOKUP($A83,'2019-2020'!$B$4:$B$23,'2019-2020'!AA$4:AA$23)</f>
        <v>24557</v>
      </c>
      <c r="AA83">
        <f>_xlfn.XLOOKUP($A83,'2019-2020'!$B$4:$B$23,'2019-2020'!AB$4:AB$23)</f>
        <v>85</v>
      </c>
      <c r="AB83">
        <f>_xlfn.XLOOKUP($A83,'2019-2020'!$B$4:$B$23,'2019-2020'!AC$4:AC$23)</f>
        <v>4216</v>
      </c>
      <c r="AC83">
        <f>_xlfn.XLOOKUP($A83,'2019-2020'!$B$4:$B$23,'2019-2020'!AD$4:AD$23)</f>
        <v>915</v>
      </c>
      <c r="AD83">
        <f>_xlfn.XLOOKUP($A83,'2019-2020'!$B$4:$B$23,'2019-2020'!AE$4:AE$23)</f>
        <v>298</v>
      </c>
      <c r="AE83">
        <f>_xlfn.XLOOKUP($A83,'2019-2020'!$B$4:$B$23,'2019-2020'!AF$4:AF$23)</f>
        <v>159.52000000000001</v>
      </c>
      <c r="AF83">
        <f>_xlfn.XLOOKUP($A83,'2019-2020'!$B$4:$B$23,'2019-2020'!AG$4:AG$23)</f>
        <v>71</v>
      </c>
      <c r="AG83">
        <f>_xlfn.XLOOKUP($A83,'2019-2020'!$B$4:$B$23,'2019-2020'!AH$4:AH$23)</f>
        <v>25</v>
      </c>
      <c r="AH83">
        <f>_xlfn.XLOOKUP($A83,'2019-2020'!$B$4:$B$23,'2019-2020'!AI$4:AI$23)</f>
        <v>26</v>
      </c>
      <c r="AI83">
        <f>_xlfn.XLOOKUP($A83,'2019-2020'!$B$4:$B$23,'2019-2020'!AJ$4:AJ$23)</f>
        <v>1050</v>
      </c>
      <c r="AJ83">
        <f>_xlfn.XLOOKUP($A83,'2019-2020'!$B$4:$B$23,'2019-2020'!AK$4:AK$23)</f>
        <v>34</v>
      </c>
      <c r="AK83">
        <f>_xlfn.XLOOKUP($A83,'2019-2020'!$B$4:$B$23,'2019-2020'!AL$4:AL$23)</f>
        <v>30.882352941176471</v>
      </c>
      <c r="AL83">
        <f>_xlfn.XLOOKUP($A83,'2019-2020'!$B$4:$B$23,'2019-2020'!AM$4:AM$23)</f>
        <v>37097</v>
      </c>
      <c r="AM83">
        <f>_xlfn.XLOOKUP($A83,'2019-2020'!$B$4:$B$23,'2019-2020'!AN$4:AN$23)</f>
        <v>0.19</v>
      </c>
      <c r="AN83">
        <f>_xlfn.XLOOKUP($A83,'2019-2020'!$B$4:$B$23,'2019-2020'!AO$4:AO$23)</f>
        <v>1</v>
      </c>
      <c r="AO83">
        <f>_xlfn.XLOOKUP($A83,'2019-2020'!$B$4:$B$23,'2019-2020'!AP$4:AP$23)</f>
        <v>0</v>
      </c>
      <c r="AP83">
        <f>_xlfn.XLOOKUP($A83,'2019-2020'!$B$4:$B$23,'2019-2020'!AQ$4:AQ$23)</f>
        <v>1</v>
      </c>
      <c r="AQ83">
        <f>_xlfn.XLOOKUP($A83,'2019-2020'!$B$4:$B$23,'2019-2020'!AR$4:AR$23)</f>
        <v>0</v>
      </c>
      <c r="AR83">
        <f>_xlfn.XLOOKUP($A83,'2019-2020'!$B$4:$B$23,'2019-2020'!AS$4:AS$23)</f>
        <v>1</v>
      </c>
      <c r="AS83" t="str">
        <f>_xlfn.XLOOKUP($A83,'2019-2020'!$B$4:$B$23,'2019-2020'!AT$4:AT$23)</f>
        <v>19/20</v>
      </c>
    </row>
    <row r="84" spans="1:45" x14ac:dyDescent="0.25">
      <c r="A84">
        <v>3</v>
      </c>
      <c r="B84" t="str">
        <f>_xlfn.XLOOKUP($A84,'2019-2020'!$B$4:$B$23,'2019-2020'!C$4:C$23)</f>
        <v>Manchester United</v>
      </c>
      <c r="C84">
        <f>_xlfn.XLOOKUP($A84,'2019-2020'!$B$4:$B$23,'2019-2020'!D$4:D$23)</f>
        <v>66</v>
      </c>
      <c r="D84">
        <f>_xlfn.XLOOKUP($A84,'2019-2020'!$B$4:$B$23,'2019-2020'!E$4:E$23)</f>
        <v>36</v>
      </c>
      <c r="E84">
        <f>_xlfn.XLOOKUP($A84,'2019-2020'!$B$4:$B$23,'2019-2020'!F$4:F$23)</f>
        <v>30</v>
      </c>
      <c r="F84">
        <f>_xlfn.XLOOKUP($A84,'2019-2020'!$B$4:$B$23,'2019-2020'!G$4:G$23)</f>
        <v>13</v>
      </c>
      <c r="G84">
        <f>_xlfn.XLOOKUP($A84,'2019-2020'!$B$4:$B$23,'2019-2020'!H$4:H$23)</f>
        <v>73</v>
      </c>
      <c r="H84">
        <f>_xlfn.XLOOKUP($A84,'2019-2020'!$B$4:$B$23,'2019-2020'!I$4:I$23)</f>
        <v>0</v>
      </c>
      <c r="I84">
        <f>_xlfn.XLOOKUP($A84,'2019-2020'!$B$4:$B$23,'2019-2020'!J$4:J$23)</f>
        <v>62.2</v>
      </c>
      <c r="J84">
        <f>_xlfn.XLOOKUP($A84,'2019-2020'!$B$4:$B$23,'2019-2020'!K$4:K$23)</f>
        <v>37.700000000000003</v>
      </c>
      <c r="K84">
        <f>_xlfn.XLOOKUP($A84,'2019-2020'!$B$4:$B$23,'2019-2020'!L$4:L$23)</f>
        <v>3.7999999999999972</v>
      </c>
      <c r="L84">
        <f>_xlfn.XLOOKUP($A84,'2019-2020'!$B$4:$B$23,'2019-2020'!M$4:M$23)</f>
        <v>530</v>
      </c>
      <c r="M84">
        <f>_xlfn.XLOOKUP($A84,'2019-2020'!$B$4:$B$23,'2019-2020'!N$4:N$23)</f>
        <v>201</v>
      </c>
      <c r="N84">
        <f>_xlfn.XLOOKUP($A84,'2019-2020'!$B$4:$B$23,'2019-2020'!O$4:O$23)</f>
        <v>10</v>
      </c>
      <c r="O84">
        <f>_xlfn.XLOOKUP($A84,'2019-2020'!$B$4:$B$23,'2019-2020'!P$4:P$23)</f>
        <v>5</v>
      </c>
      <c r="P84">
        <f>_xlfn.XLOOKUP($A84,'2019-2020'!$B$4:$B$23,'2019-2020'!Q$4:Q$23)</f>
        <v>54</v>
      </c>
      <c r="Q84">
        <f>_xlfn.XLOOKUP($A84,'2019-2020'!$B$4:$B$23,'2019-2020'!R$4:R$23)</f>
        <v>12</v>
      </c>
      <c r="R84">
        <f>_xlfn.XLOOKUP($A84,'2019-2020'!$B$4:$B$23,'2019-2020'!S$4:S$23)</f>
        <v>6</v>
      </c>
      <c r="S84">
        <f>_xlfn.XLOOKUP($A84,'2019-2020'!$B$4:$B$23,'2019-2020'!T$4:T$23)</f>
        <v>56</v>
      </c>
      <c r="T84">
        <f>_xlfn.XLOOKUP($A84,'2019-2020'!$B$4:$B$23,'2019-2020'!U$4:U$23)</f>
        <v>1</v>
      </c>
      <c r="U84">
        <f>_xlfn.XLOOKUP($A84,'2019-2020'!$B$4:$B$23,'2019-2020'!V$4:V$23)</f>
        <v>3</v>
      </c>
      <c r="V84">
        <f>_xlfn.XLOOKUP($A84,'2019-2020'!$B$4:$B$23,'2019-2020'!W$4:W$23)</f>
        <v>96</v>
      </c>
      <c r="W84">
        <f>_xlfn.XLOOKUP($A84,'2019-2020'!$B$4:$B$23,'2019-2020'!X$4:X$23)</f>
        <v>703</v>
      </c>
      <c r="X84">
        <f>_xlfn.XLOOKUP($A84,'2019-2020'!$B$4:$B$23,'2019-2020'!Y$4:Y$23)</f>
        <v>579</v>
      </c>
      <c r="Y84">
        <f>_xlfn.XLOOKUP($A84,'2019-2020'!$B$4:$B$23,'2019-2020'!Z$4:Z$23)</f>
        <v>423</v>
      </c>
      <c r="Z84">
        <f>_xlfn.XLOOKUP($A84,'2019-2020'!$B$4:$B$23,'2019-2020'!AA$4:AA$23)</f>
        <v>17744</v>
      </c>
      <c r="AA84">
        <f>_xlfn.XLOOKUP($A84,'2019-2020'!$B$4:$B$23,'2019-2020'!AB$4:AB$23)</f>
        <v>64</v>
      </c>
      <c r="AB84">
        <f>_xlfn.XLOOKUP($A84,'2019-2020'!$B$4:$B$23,'2019-2020'!AC$4:AC$23)</f>
        <v>2790</v>
      </c>
      <c r="AC84">
        <f>_xlfn.XLOOKUP($A84,'2019-2020'!$B$4:$B$23,'2019-2020'!AD$4:AD$23)</f>
        <v>635</v>
      </c>
      <c r="AD84">
        <f>_xlfn.XLOOKUP($A84,'2019-2020'!$B$4:$B$23,'2019-2020'!AE$4:AE$23)</f>
        <v>204</v>
      </c>
      <c r="AE84">
        <f>_xlfn.XLOOKUP($A84,'2019-2020'!$B$4:$B$23,'2019-2020'!AF$4:AF$23)</f>
        <v>234.8</v>
      </c>
      <c r="AF84">
        <f>_xlfn.XLOOKUP($A84,'2019-2020'!$B$4:$B$23,'2019-2020'!AG$4:AG$23)</f>
        <v>81.180000000000007</v>
      </c>
      <c r="AG84">
        <f>_xlfn.XLOOKUP($A84,'2019-2020'!$B$4:$B$23,'2019-2020'!AH$4:AH$23)</f>
        <v>13</v>
      </c>
      <c r="AH84">
        <f>_xlfn.XLOOKUP($A84,'2019-2020'!$B$4:$B$23,'2019-2020'!AI$4:AI$23)</f>
        <v>12</v>
      </c>
      <c r="AI84">
        <f>_xlfn.XLOOKUP($A84,'2019-2020'!$B$4:$B$23,'2019-2020'!AJ$4:AJ$23)</f>
        <v>670.45</v>
      </c>
      <c r="AJ84">
        <f>_xlfn.XLOOKUP($A84,'2019-2020'!$B$4:$B$23,'2019-2020'!AK$4:AK$23)</f>
        <v>43</v>
      </c>
      <c r="AK84">
        <f>_xlfn.XLOOKUP($A84,'2019-2020'!$B$4:$B$23,'2019-2020'!AL$4:AL$23)</f>
        <v>15.59186046511628</v>
      </c>
      <c r="AL84">
        <f>_xlfn.XLOOKUP($A84,'2019-2020'!$B$4:$B$23,'2019-2020'!AM$4:AM$23)</f>
        <v>57415</v>
      </c>
      <c r="AM84">
        <f>_xlfn.XLOOKUP($A84,'2019-2020'!$B$4:$B$23,'2019-2020'!AN$4:AN$23)</f>
        <v>0.14000000000000001</v>
      </c>
      <c r="AN84">
        <f>_xlfn.XLOOKUP($A84,'2019-2020'!$B$4:$B$23,'2019-2020'!AO$4:AO$23)</f>
        <v>1</v>
      </c>
      <c r="AO84">
        <f>_xlfn.XLOOKUP($A84,'2019-2020'!$B$4:$B$23,'2019-2020'!AP$4:AP$23)</f>
        <v>0</v>
      </c>
      <c r="AP84">
        <f>_xlfn.XLOOKUP($A84,'2019-2020'!$B$4:$B$23,'2019-2020'!AQ$4:AQ$23)</f>
        <v>1</v>
      </c>
      <c r="AQ84">
        <f>_xlfn.XLOOKUP($A84,'2019-2020'!$B$4:$B$23,'2019-2020'!AR$4:AR$23)</f>
        <v>0</v>
      </c>
      <c r="AR84">
        <f>_xlfn.XLOOKUP($A84,'2019-2020'!$B$4:$B$23,'2019-2020'!AS$4:AS$23)</f>
        <v>1</v>
      </c>
      <c r="AS84" t="str">
        <f>_xlfn.XLOOKUP($A84,'2019-2020'!$B$4:$B$23,'2019-2020'!AT$4:AT$23)</f>
        <v>19/20</v>
      </c>
    </row>
    <row r="85" spans="1:45" x14ac:dyDescent="0.25">
      <c r="A85">
        <v>4</v>
      </c>
      <c r="B85" t="str">
        <f>_xlfn.XLOOKUP($A85,'2019-2020'!$B$4:$B$23,'2019-2020'!C$4:C$23)</f>
        <v>Chelsea</v>
      </c>
      <c r="C85">
        <f>_xlfn.XLOOKUP($A85,'2019-2020'!$B$4:$B$23,'2019-2020'!D$4:D$23)</f>
        <v>69</v>
      </c>
      <c r="D85">
        <f>_xlfn.XLOOKUP($A85,'2019-2020'!$B$4:$B$23,'2019-2020'!E$4:E$23)</f>
        <v>54</v>
      </c>
      <c r="E85">
        <f>_xlfn.XLOOKUP($A85,'2019-2020'!$B$4:$B$23,'2019-2020'!F$4:F$23)</f>
        <v>15</v>
      </c>
      <c r="F85">
        <f>_xlfn.XLOOKUP($A85,'2019-2020'!$B$4:$B$23,'2019-2020'!G$4:G$23)</f>
        <v>9</v>
      </c>
      <c r="G85">
        <f>_xlfn.XLOOKUP($A85,'2019-2020'!$B$4:$B$23,'2019-2020'!H$4:H$23)</f>
        <v>60</v>
      </c>
      <c r="H85">
        <f>_xlfn.XLOOKUP($A85,'2019-2020'!$B$4:$B$23,'2019-2020'!I$4:I$23)</f>
        <v>0</v>
      </c>
      <c r="I85">
        <f>_xlfn.XLOOKUP($A85,'2019-2020'!$B$4:$B$23,'2019-2020'!J$4:J$23)</f>
        <v>69.2</v>
      </c>
      <c r="J85">
        <f>_xlfn.XLOOKUP($A85,'2019-2020'!$B$4:$B$23,'2019-2020'!K$4:K$23)</f>
        <v>38.6</v>
      </c>
      <c r="K85">
        <f>_xlfn.XLOOKUP($A85,'2019-2020'!$B$4:$B$23,'2019-2020'!L$4:L$23)</f>
        <v>-0.20000000000000284</v>
      </c>
      <c r="L85">
        <f>_xlfn.XLOOKUP($A85,'2019-2020'!$B$4:$B$23,'2019-2020'!M$4:M$23)</f>
        <v>618</v>
      </c>
      <c r="M85">
        <f>_xlfn.XLOOKUP($A85,'2019-2020'!$B$4:$B$23,'2019-2020'!N$4:N$23)</f>
        <v>210</v>
      </c>
      <c r="N85">
        <f>_xlfn.XLOOKUP($A85,'2019-2020'!$B$4:$B$23,'2019-2020'!O$4:O$23)</f>
        <v>7</v>
      </c>
      <c r="O85">
        <f>_xlfn.XLOOKUP($A85,'2019-2020'!$B$4:$B$23,'2019-2020'!P$4:P$23)</f>
        <v>9</v>
      </c>
      <c r="P85">
        <f>_xlfn.XLOOKUP($A85,'2019-2020'!$B$4:$B$23,'2019-2020'!Q$4:Q$23)</f>
        <v>59</v>
      </c>
      <c r="Q85">
        <f>_xlfn.XLOOKUP($A85,'2019-2020'!$B$4:$B$23,'2019-2020'!R$4:R$23)</f>
        <v>10</v>
      </c>
      <c r="R85">
        <f>_xlfn.XLOOKUP($A85,'2019-2020'!$B$4:$B$23,'2019-2020'!S$4:S$23)</f>
        <v>8</v>
      </c>
      <c r="S85">
        <f>_xlfn.XLOOKUP($A85,'2019-2020'!$B$4:$B$23,'2019-2020'!T$4:T$23)</f>
        <v>63</v>
      </c>
      <c r="T85">
        <f>_xlfn.XLOOKUP($A85,'2019-2020'!$B$4:$B$23,'2019-2020'!U$4:U$23)</f>
        <v>3</v>
      </c>
      <c r="U85">
        <f>_xlfn.XLOOKUP($A85,'2019-2020'!$B$4:$B$23,'2019-2020'!V$4:V$23)</f>
        <v>2</v>
      </c>
      <c r="V85">
        <f>_xlfn.XLOOKUP($A85,'2019-2020'!$B$4:$B$23,'2019-2020'!W$4:W$23)</f>
        <v>64</v>
      </c>
      <c r="W85">
        <f>_xlfn.XLOOKUP($A85,'2019-2020'!$B$4:$B$23,'2019-2020'!X$4:X$23)</f>
        <v>631</v>
      </c>
      <c r="X85">
        <f>_xlfn.XLOOKUP($A85,'2019-2020'!$B$4:$B$23,'2019-2020'!Y$4:Y$23)</f>
        <v>638</v>
      </c>
      <c r="Y85">
        <f>_xlfn.XLOOKUP($A85,'2019-2020'!$B$4:$B$23,'2019-2020'!Z$4:Z$23)</f>
        <v>386</v>
      </c>
      <c r="Z85">
        <f>_xlfn.XLOOKUP($A85,'2019-2020'!$B$4:$B$23,'2019-2020'!AA$4:AA$23)</f>
        <v>20958</v>
      </c>
      <c r="AA85">
        <f>_xlfn.XLOOKUP($A85,'2019-2020'!$B$4:$B$23,'2019-2020'!AB$4:AB$23)</f>
        <v>61</v>
      </c>
      <c r="AB85">
        <f>_xlfn.XLOOKUP($A85,'2019-2020'!$B$4:$B$23,'2019-2020'!AC$4:AC$23)</f>
        <v>3668</v>
      </c>
      <c r="AC85">
        <f>_xlfn.XLOOKUP($A85,'2019-2020'!$B$4:$B$23,'2019-2020'!AD$4:AD$23)</f>
        <v>862</v>
      </c>
      <c r="AD85">
        <f>_xlfn.XLOOKUP($A85,'2019-2020'!$B$4:$B$23,'2019-2020'!AE$4:AE$23)</f>
        <v>247</v>
      </c>
      <c r="AE85">
        <f>_xlfn.XLOOKUP($A85,'2019-2020'!$B$4:$B$23,'2019-2020'!AF$4:AF$23)</f>
        <v>45</v>
      </c>
      <c r="AF85">
        <f>_xlfn.XLOOKUP($A85,'2019-2020'!$B$4:$B$23,'2019-2020'!AG$4:AG$23)</f>
        <v>157.27000000000001</v>
      </c>
      <c r="AG85">
        <f>_xlfn.XLOOKUP($A85,'2019-2020'!$B$4:$B$23,'2019-2020'!AH$4:AH$23)</f>
        <v>22</v>
      </c>
      <c r="AH85">
        <f>_xlfn.XLOOKUP($A85,'2019-2020'!$B$4:$B$23,'2019-2020'!AI$4:AI$23)</f>
        <v>29</v>
      </c>
      <c r="AI85">
        <f>_xlfn.XLOOKUP($A85,'2019-2020'!$B$4:$B$23,'2019-2020'!AJ$4:AJ$23)</f>
        <v>705.85</v>
      </c>
      <c r="AJ85">
        <f>_xlfn.XLOOKUP($A85,'2019-2020'!$B$4:$B$23,'2019-2020'!AK$4:AK$23)</f>
        <v>36</v>
      </c>
      <c r="AK85">
        <f>_xlfn.XLOOKUP($A85,'2019-2020'!$B$4:$B$23,'2019-2020'!AL$4:AL$23)</f>
        <v>19.606944444444444</v>
      </c>
      <c r="AL85">
        <f>_xlfn.XLOOKUP($A85,'2019-2020'!$B$4:$B$23,'2019-2020'!AM$4:AM$23)</f>
        <v>32023</v>
      </c>
      <c r="AM85">
        <f>_xlfn.XLOOKUP($A85,'2019-2020'!$B$4:$B$23,'2019-2020'!AN$4:AN$23)</f>
        <v>0.14000000000000001</v>
      </c>
      <c r="AN85">
        <f>_xlfn.XLOOKUP($A85,'2019-2020'!$B$4:$B$23,'2019-2020'!AO$4:AO$23)</f>
        <v>1</v>
      </c>
      <c r="AO85">
        <f>_xlfn.XLOOKUP($A85,'2019-2020'!$B$4:$B$23,'2019-2020'!AP$4:AP$23)</f>
        <v>0</v>
      </c>
      <c r="AP85">
        <f>_xlfn.XLOOKUP($A85,'2019-2020'!$B$4:$B$23,'2019-2020'!AQ$4:AQ$23)</f>
        <v>1</v>
      </c>
      <c r="AQ85">
        <f>_xlfn.XLOOKUP($A85,'2019-2020'!$B$4:$B$23,'2019-2020'!AR$4:AR$23)</f>
        <v>0</v>
      </c>
      <c r="AR85">
        <f>_xlfn.XLOOKUP($A85,'2019-2020'!$B$4:$B$23,'2019-2020'!AS$4:AS$23)</f>
        <v>1</v>
      </c>
      <c r="AS85" t="str">
        <f>_xlfn.XLOOKUP($A85,'2019-2020'!$B$4:$B$23,'2019-2020'!AT$4:AT$23)</f>
        <v>19/20</v>
      </c>
    </row>
    <row r="86" spans="1:45" x14ac:dyDescent="0.25">
      <c r="A86">
        <v>5</v>
      </c>
      <c r="B86" t="str">
        <f>_xlfn.XLOOKUP($A86,'2019-2020'!$B$4:$B$23,'2019-2020'!C$4:C$23)</f>
        <v>Leicester City</v>
      </c>
      <c r="C86">
        <f>_xlfn.XLOOKUP($A86,'2019-2020'!$B$4:$B$23,'2019-2020'!D$4:D$23)</f>
        <v>67</v>
      </c>
      <c r="D86">
        <f>_xlfn.XLOOKUP($A86,'2019-2020'!$B$4:$B$23,'2019-2020'!E$4:E$23)</f>
        <v>41</v>
      </c>
      <c r="E86">
        <f>_xlfn.XLOOKUP($A86,'2019-2020'!$B$4:$B$23,'2019-2020'!F$4:F$23)</f>
        <v>26</v>
      </c>
      <c r="F86">
        <f>_xlfn.XLOOKUP($A86,'2019-2020'!$B$4:$B$23,'2019-2020'!G$4:G$23)</f>
        <v>13</v>
      </c>
      <c r="G86">
        <f>_xlfn.XLOOKUP($A86,'2019-2020'!$B$4:$B$23,'2019-2020'!H$4:H$23)</f>
        <v>41</v>
      </c>
      <c r="H86">
        <f>_xlfn.XLOOKUP($A86,'2019-2020'!$B$4:$B$23,'2019-2020'!I$4:I$23)</f>
        <v>3</v>
      </c>
      <c r="I86">
        <f>_xlfn.XLOOKUP($A86,'2019-2020'!$B$4:$B$23,'2019-2020'!J$4:J$23)</f>
        <v>62.2</v>
      </c>
      <c r="J86">
        <f>_xlfn.XLOOKUP($A86,'2019-2020'!$B$4:$B$23,'2019-2020'!K$4:K$23)</f>
        <v>45.5</v>
      </c>
      <c r="K86">
        <f>_xlfn.XLOOKUP($A86,'2019-2020'!$B$4:$B$23,'2019-2020'!L$4:L$23)</f>
        <v>4.7999999999999972</v>
      </c>
      <c r="L86">
        <f>_xlfn.XLOOKUP($A86,'2019-2020'!$B$4:$B$23,'2019-2020'!M$4:M$23)</f>
        <v>533</v>
      </c>
      <c r="M86">
        <f>_xlfn.XLOOKUP($A86,'2019-2020'!$B$4:$B$23,'2019-2020'!N$4:N$23)</f>
        <v>183</v>
      </c>
      <c r="N86">
        <f>_xlfn.XLOOKUP($A86,'2019-2020'!$B$4:$B$23,'2019-2020'!O$4:O$23)</f>
        <v>5</v>
      </c>
      <c r="O86">
        <f>_xlfn.XLOOKUP($A86,'2019-2020'!$B$4:$B$23,'2019-2020'!P$4:P$23)</f>
        <v>11</v>
      </c>
      <c r="P86">
        <f>_xlfn.XLOOKUP($A86,'2019-2020'!$B$4:$B$23,'2019-2020'!Q$4:Q$23)</f>
        <v>59</v>
      </c>
      <c r="Q86">
        <f>_xlfn.XLOOKUP($A86,'2019-2020'!$B$4:$B$23,'2019-2020'!R$4:R$23)</f>
        <v>9</v>
      </c>
      <c r="R86">
        <f>_xlfn.XLOOKUP($A86,'2019-2020'!$B$4:$B$23,'2019-2020'!S$4:S$23)</f>
        <v>9</v>
      </c>
      <c r="S86">
        <f>_xlfn.XLOOKUP($A86,'2019-2020'!$B$4:$B$23,'2019-2020'!T$4:T$23)</f>
        <v>64</v>
      </c>
      <c r="T86">
        <f>_xlfn.XLOOKUP($A86,'2019-2020'!$B$4:$B$23,'2019-2020'!U$4:U$23)</f>
        <v>2</v>
      </c>
      <c r="U86">
        <f>_xlfn.XLOOKUP($A86,'2019-2020'!$B$4:$B$23,'2019-2020'!V$4:V$23)</f>
        <v>10</v>
      </c>
      <c r="V86">
        <f>_xlfn.XLOOKUP($A86,'2019-2020'!$B$4:$B$23,'2019-2020'!W$4:W$23)</f>
        <v>94</v>
      </c>
      <c r="W86">
        <f>_xlfn.XLOOKUP($A86,'2019-2020'!$B$4:$B$23,'2019-2020'!X$4:X$23)</f>
        <v>767</v>
      </c>
      <c r="X86">
        <f>_xlfn.XLOOKUP($A86,'2019-2020'!$B$4:$B$23,'2019-2020'!Y$4:Y$23)</f>
        <v>742</v>
      </c>
      <c r="Y86">
        <f>_xlfn.XLOOKUP($A86,'2019-2020'!$B$4:$B$23,'2019-2020'!Z$4:Z$23)</f>
        <v>418</v>
      </c>
      <c r="Z86">
        <f>_xlfn.XLOOKUP($A86,'2019-2020'!$B$4:$B$23,'2019-2020'!AA$4:AA$23)</f>
        <v>17600</v>
      </c>
      <c r="AA86">
        <f>_xlfn.XLOOKUP($A86,'2019-2020'!$B$4:$B$23,'2019-2020'!AB$4:AB$23)</f>
        <v>68</v>
      </c>
      <c r="AB86">
        <f>_xlfn.XLOOKUP($A86,'2019-2020'!$B$4:$B$23,'2019-2020'!AC$4:AC$23)</f>
        <v>2975</v>
      </c>
      <c r="AC86">
        <f>_xlfn.XLOOKUP($A86,'2019-2020'!$B$4:$B$23,'2019-2020'!AD$4:AD$23)</f>
        <v>779</v>
      </c>
      <c r="AD86">
        <f>_xlfn.XLOOKUP($A86,'2019-2020'!$B$4:$B$23,'2019-2020'!AE$4:AE$23)</f>
        <v>221</v>
      </c>
      <c r="AE86">
        <f>_xlfn.XLOOKUP($A86,'2019-2020'!$B$4:$B$23,'2019-2020'!AF$4:AF$23)</f>
        <v>104.3</v>
      </c>
      <c r="AF86">
        <f>_xlfn.XLOOKUP($A86,'2019-2020'!$B$4:$B$23,'2019-2020'!AG$4:AG$23)</f>
        <v>88.5</v>
      </c>
      <c r="AG86">
        <f>_xlfn.XLOOKUP($A86,'2019-2020'!$B$4:$B$23,'2019-2020'!AH$4:AH$23)</f>
        <v>13</v>
      </c>
      <c r="AH86">
        <f>_xlfn.XLOOKUP($A86,'2019-2020'!$B$4:$B$23,'2019-2020'!AI$4:AI$23)</f>
        <v>13</v>
      </c>
      <c r="AI86">
        <f>_xlfn.XLOOKUP($A86,'2019-2020'!$B$4:$B$23,'2019-2020'!AJ$4:AJ$23)</f>
        <v>411.1</v>
      </c>
      <c r="AJ86">
        <f>_xlfn.XLOOKUP($A86,'2019-2020'!$B$4:$B$23,'2019-2020'!AK$4:AK$23)</f>
        <v>32</v>
      </c>
      <c r="AK86">
        <f>_xlfn.XLOOKUP($A86,'2019-2020'!$B$4:$B$23,'2019-2020'!AL$4:AL$23)</f>
        <v>12.846875000000001</v>
      </c>
      <c r="AL86">
        <f>_xlfn.XLOOKUP($A86,'2019-2020'!$B$4:$B$23,'2019-2020'!AM$4:AM$23)</f>
        <v>25312</v>
      </c>
      <c r="AM86">
        <f>_xlfn.XLOOKUP($A86,'2019-2020'!$B$4:$B$23,'2019-2020'!AN$4:AN$23)</f>
        <v>0.12</v>
      </c>
      <c r="AN86">
        <f>_xlfn.XLOOKUP($A86,'2019-2020'!$B$4:$B$23,'2019-2020'!AO$4:AO$23)</f>
        <v>0</v>
      </c>
      <c r="AO86">
        <f>_xlfn.XLOOKUP($A86,'2019-2020'!$B$4:$B$23,'2019-2020'!AP$4:AP$23)</f>
        <v>0</v>
      </c>
      <c r="AP86">
        <f>_xlfn.XLOOKUP($A86,'2019-2020'!$B$4:$B$23,'2019-2020'!AQ$4:AQ$23)</f>
        <v>0</v>
      </c>
      <c r="AQ86">
        <f>_xlfn.XLOOKUP($A86,'2019-2020'!$B$4:$B$23,'2019-2020'!AR$4:AR$23)</f>
        <v>0</v>
      </c>
      <c r="AR86">
        <f>_xlfn.XLOOKUP($A86,'2019-2020'!$B$4:$B$23,'2019-2020'!AS$4:AS$23)</f>
        <v>0</v>
      </c>
      <c r="AS86" t="str">
        <f>_xlfn.XLOOKUP($A86,'2019-2020'!$B$4:$B$23,'2019-2020'!AT$4:AT$23)</f>
        <v>19/20</v>
      </c>
    </row>
    <row r="87" spans="1:45" x14ac:dyDescent="0.25">
      <c r="A87">
        <v>6</v>
      </c>
      <c r="B87" t="str">
        <f>_xlfn.XLOOKUP($A87,'2019-2020'!$B$4:$B$23,'2019-2020'!C$4:C$23)</f>
        <v>Tottenham Hotspur</v>
      </c>
      <c r="C87">
        <f>_xlfn.XLOOKUP($A87,'2019-2020'!$B$4:$B$23,'2019-2020'!D$4:D$23)</f>
        <v>61</v>
      </c>
      <c r="D87">
        <f>_xlfn.XLOOKUP($A87,'2019-2020'!$B$4:$B$23,'2019-2020'!E$4:E$23)</f>
        <v>47</v>
      </c>
      <c r="E87">
        <f>_xlfn.XLOOKUP($A87,'2019-2020'!$B$4:$B$23,'2019-2020'!F$4:F$23)</f>
        <v>14</v>
      </c>
      <c r="F87">
        <f>_xlfn.XLOOKUP($A87,'2019-2020'!$B$4:$B$23,'2019-2020'!G$4:G$23)</f>
        <v>8</v>
      </c>
      <c r="G87">
        <f>_xlfn.XLOOKUP($A87,'2019-2020'!$B$4:$B$23,'2019-2020'!H$4:H$23)</f>
        <v>82</v>
      </c>
      <c r="H87">
        <f>_xlfn.XLOOKUP($A87,'2019-2020'!$B$4:$B$23,'2019-2020'!I$4:I$23)</f>
        <v>3</v>
      </c>
      <c r="I87">
        <f>_xlfn.XLOOKUP($A87,'2019-2020'!$B$4:$B$23,'2019-2020'!J$4:J$23)</f>
        <v>47.9</v>
      </c>
      <c r="J87">
        <f>_xlfn.XLOOKUP($A87,'2019-2020'!$B$4:$B$23,'2019-2020'!K$4:K$23)</f>
        <v>54.2</v>
      </c>
      <c r="K87">
        <f>_xlfn.XLOOKUP($A87,'2019-2020'!$B$4:$B$23,'2019-2020'!L$4:L$23)</f>
        <v>13.100000000000001</v>
      </c>
      <c r="L87">
        <f>_xlfn.XLOOKUP($A87,'2019-2020'!$B$4:$B$23,'2019-2020'!M$4:M$23)</f>
        <v>440</v>
      </c>
      <c r="M87">
        <f>_xlfn.XLOOKUP($A87,'2019-2020'!$B$4:$B$23,'2019-2020'!N$4:N$23)</f>
        <v>154</v>
      </c>
      <c r="N87">
        <f>_xlfn.XLOOKUP($A87,'2019-2020'!$B$4:$B$23,'2019-2020'!O$4:O$23)</f>
        <v>3</v>
      </c>
      <c r="O87">
        <f>_xlfn.XLOOKUP($A87,'2019-2020'!$B$4:$B$23,'2019-2020'!P$4:P$23)</f>
        <v>8</v>
      </c>
      <c r="P87">
        <f>_xlfn.XLOOKUP($A87,'2019-2020'!$B$4:$B$23,'2019-2020'!Q$4:Q$23)</f>
        <v>55</v>
      </c>
      <c r="Q87">
        <f>_xlfn.XLOOKUP($A87,'2019-2020'!$B$4:$B$23,'2019-2020'!R$4:R$23)</f>
        <v>6</v>
      </c>
      <c r="R87">
        <f>_xlfn.XLOOKUP($A87,'2019-2020'!$B$4:$B$23,'2019-2020'!S$4:S$23)</f>
        <v>8</v>
      </c>
      <c r="S87">
        <f>_xlfn.XLOOKUP($A87,'2019-2020'!$B$4:$B$23,'2019-2020'!T$4:T$23)</f>
        <v>66</v>
      </c>
      <c r="T87">
        <f>_xlfn.XLOOKUP($A87,'2019-2020'!$B$4:$B$23,'2019-2020'!U$4:U$23)</f>
        <v>2</v>
      </c>
      <c r="U87">
        <f>_xlfn.XLOOKUP($A87,'2019-2020'!$B$4:$B$23,'2019-2020'!V$4:V$23)</f>
        <v>7</v>
      </c>
      <c r="V87">
        <f>_xlfn.XLOOKUP($A87,'2019-2020'!$B$4:$B$23,'2019-2020'!W$4:W$23)</f>
        <v>134</v>
      </c>
      <c r="W87">
        <f>_xlfn.XLOOKUP($A87,'2019-2020'!$B$4:$B$23,'2019-2020'!X$4:X$23)</f>
        <v>894</v>
      </c>
      <c r="X87">
        <f>_xlfn.XLOOKUP($A87,'2019-2020'!$B$4:$B$23,'2019-2020'!Y$4:Y$23)</f>
        <v>665</v>
      </c>
      <c r="Y87">
        <f>_xlfn.XLOOKUP($A87,'2019-2020'!$B$4:$B$23,'2019-2020'!Z$4:Z$23)</f>
        <v>423</v>
      </c>
      <c r="Z87">
        <f>_xlfn.XLOOKUP($A87,'2019-2020'!$B$4:$B$23,'2019-2020'!AA$4:AA$23)</f>
        <v>16101</v>
      </c>
      <c r="AA87">
        <f>_xlfn.XLOOKUP($A87,'2019-2020'!$B$4:$B$23,'2019-2020'!AB$4:AB$23)</f>
        <v>79</v>
      </c>
      <c r="AB87">
        <f>_xlfn.XLOOKUP($A87,'2019-2020'!$B$4:$B$23,'2019-2020'!AC$4:AC$23)</f>
        <v>2584</v>
      </c>
      <c r="AC87">
        <f>_xlfn.XLOOKUP($A87,'2019-2020'!$B$4:$B$23,'2019-2020'!AD$4:AD$23)</f>
        <v>641</v>
      </c>
      <c r="AD87">
        <f>_xlfn.XLOOKUP($A87,'2019-2020'!$B$4:$B$23,'2019-2020'!AE$4:AE$23)</f>
        <v>200</v>
      </c>
      <c r="AE87">
        <f>_xlfn.XLOOKUP($A87,'2019-2020'!$B$4:$B$23,'2019-2020'!AF$4:AF$23)</f>
        <v>148.5</v>
      </c>
      <c r="AF87">
        <f>_xlfn.XLOOKUP($A87,'2019-2020'!$B$4:$B$23,'2019-2020'!AG$4:AG$23)</f>
        <v>64.5</v>
      </c>
      <c r="AG87">
        <f>_xlfn.XLOOKUP($A87,'2019-2020'!$B$4:$B$23,'2019-2020'!AH$4:AH$23)</f>
        <v>12</v>
      </c>
      <c r="AH87">
        <f>_xlfn.XLOOKUP($A87,'2019-2020'!$B$4:$B$23,'2019-2020'!AI$4:AI$23)</f>
        <v>14</v>
      </c>
      <c r="AI87">
        <f>_xlfn.XLOOKUP($A87,'2019-2020'!$B$4:$B$23,'2019-2020'!AJ$4:AJ$23)</f>
        <v>806.6</v>
      </c>
      <c r="AJ87">
        <f>_xlfn.XLOOKUP($A87,'2019-2020'!$B$4:$B$23,'2019-2020'!AK$4:AK$23)</f>
        <v>36</v>
      </c>
      <c r="AK87">
        <f>_xlfn.XLOOKUP($A87,'2019-2020'!$B$4:$B$23,'2019-2020'!AL$4:AL$23)</f>
        <v>22.405555555555555</v>
      </c>
      <c r="AL87">
        <f>_xlfn.XLOOKUP($A87,'2019-2020'!$B$4:$B$23,'2019-2020'!AM$4:AM$23)</f>
        <v>43757</v>
      </c>
      <c r="AM87">
        <f>_xlfn.XLOOKUP($A87,'2019-2020'!$B$4:$B$23,'2019-2020'!AN$4:AN$23)</f>
        <v>0.23</v>
      </c>
      <c r="AN87">
        <f>_xlfn.XLOOKUP($A87,'2019-2020'!$B$4:$B$23,'2019-2020'!AO$4:AO$23)</f>
        <v>1</v>
      </c>
      <c r="AO87">
        <f>_xlfn.XLOOKUP($A87,'2019-2020'!$B$4:$B$23,'2019-2020'!AP$4:AP$23)</f>
        <v>0</v>
      </c>
      <c r="AP87">
        <f>_xlfn.XLOOKUP($A87,'2019-2020'!$B$4:$B$23,'2019-2020'!AQ$4:AQ$23)</f>
        <v>0</v>
      </c>
      <c r="AQ87">
        <f>_xlfn.XLOOKUP($A87,'2019-2020'!$B$4:$B$23,'2019-2020'!AR$4:AR$23)</f>
        <v>0</v>
      </c>
      <c r="AR87">
        <f>_xlfn.XLOOKUP($A87,'2019-2020'!$B$4:$B$23,'2019-2020'!AS$4:AS$23)</f>
        <v>1</v>
      </c>
      <c r="AS87" t="str">
        <f>_xlfn.XLOOKUP($A87,'2019-2020'!$B$4:$B$23,'2019-2020'!AT$4:AT$23)</f>
        <v>19/20</v>
      </c>
    </row>
    <row r="88" spans="1:45" x14ac:dyDescent="0.25">
      <c r="A88">
        <v>7</v>
      </c>
      <c r="B88" t="str">
        <f>_xlfn.XLOOKUP($A88,'2019-2020'!$B$4:$B$23,'2019-2020'!C$4:C$23)</f>
        <v>Wolverhampton Wanderers</v>
      </c>
      <c r="C88">
        <f>_xlfn.XLOOKUP($A88,'2019-2020'!$B$4:$B$23,'2019-2020'!D$4:D$23)</f>
        <v>52</v>
      </c>
      <c r="D88">
        <f>_xlfn.XLOOKUP($A88,'2019-2020'!$B$4:$B$23,'2019-2020'!E$4:E$23)</f>
        <v>40</v>
      </c>
      <c r="E88">
        <f>_xlfn.XLOOKUP($A88,'2019-2020'!$B$4:$B$23,'2019-2020'!F$4:F$23)</f>
        <v>12</v>
      </c>
      <c r="F88">
        <f>_xlfn.XLOOKUP($A88,'2019-2020'!$B$4:$B$23,'2019-2020'!G$4:G$23)</f>
        <v>13</v>
      </c>
      <c r="G88">
        <f>_xlfn.XLOOKUP($A88,'2019-2020'!$B$4:$B$23,'2019-2020'!H$4:H$23)</f>
        <v>57</v>
      </c>
      <c r="H88">
        <f>_xlfn.XLOOKUP($A88,'2019-2020'!$B$4:$B$23,'2019-2020'!I$4:I$23)</f>
        <v>2</v>
      </c>
      <c r="I88">
        <f>_xlfn.XLOOKUP($A88,'2019-2020'!$B$4:$B$23,'2019-2020'!J$4:J$23)</f>
        <v>54.1</v>
      </c>
      <c r="J88">
        <f>_xlfn.XLOOKUP($A88,'2019-2020'!$B$4:$B$23,'2019-2020'!K$4:K$23)</f>
        <v>38</v>
      </c>
      <c r="K88">
        <f>_xlfn.XLOOKUP($A88,'2019-2020'!$B$4:$B$23,'2019-2020'!L$4:L$23)</f>
        <v>-2.1000000000000014</v>
      </c>
      <c r="L88">
        <f>_xlfn.XLOOKUP($A88,'2019-2020'!$B$4:$B$23,'2019-2020'!M$4:M$23)</f>
        <v>457</v>
      </c>
      <c r="M88">
        <f>_xlfn.XLOOKUP($A88,'2019-2020'!$B$4:$B$23,'2019-2020'!N$4:N$23)</f>
        <v>142</v>
      </c>
      <c r="N88">
        <f>_xlfn.XLOOKUP($A88,'2019-2020'!$B$4:$B$23,'2019-2020'!O$4:O$23)</f>
        <v>4</v>
      </c>
      <c r="O88">
        <f>_xlfn.XLOOKUP($A88,'2019-2020'!$B$4:$B$23,'2019-2020'!P$4:P$23)</f>
        <v>10</v>
      </c>
      <c r="P88">
        <f>_xlfn.XLOOKUP($A88,'2019-2020'!$B$4:$B$23,'2019-2020'!Q$4:Q$23)</f>
        <v>46</v>
      </c>
      <c r="Q88">
        <f>_xlfn.XLOOKUP($A88,'2019-2020'!$B$4:$B$23,'2019-2020'!R$4:R$23)</f>
        <v>7</v>
      </c>
      <c r="R88">
        <f>_xlfn.XLOOKUP($A88,'2019-2020'!$B$4:$B$23,'2019-2020'!S$4:S$23)</f>
        <v>6</v>
      </c>
      <c r="S88">
        <f>_xlfn.XLOOKUP($A88,'2019-2020'!$B$4:$B$23,'2019-2020'!T$4:T$23)</f>
        <v>49</v>
      </c>
      <c r="T88">
        <f>_xlfn.XLOOKUP($A88,'2019-2020'!$B$4:$B$23,'2019-2020'!U$4:U$23)</f>
        <v>1</v>
      </c>
      <c r="U88">
        <f>_xlfn.XLOOKUP($A88,'2019-2020'!$B$4:$B$23,'2019-2020'!V$4:V$23)</f>
        <v>3</v>
      </c>
      <c r="V88">
        <f>_xlfn.XLOOKUP($A88,'2019-2020'!$B$4:$B$23,'2019-2020'!W$4:W$23)</f>
        <v>88</v>
      </c>
      <c r="W88">
        <f>_xlfn.XLOOKUP($A88,'2019-2020'!$B$4:$B$23,'2019-2020'!X$4:X$23)</f>
        <v>702</v>
      </c>
      <c r="X88">
        <f>_xlfn.XLOOKUP($A88,'2019-2020'!$B$4:$B$23,'2019-2020'!Y$4:Y$23)</f>
        <v>646</v>
      </c>
      <c r="Y88">
        <f>_xlfn.XLOOKUP($A88,'2019-2020'!$B$4:$B$23,'2019-2020'!Z$4:Z$23)</f>
        <v>407</v>
      </c>
      <c r="Z88">
        <f>_xlfn.XLOOKUP($A88,'2019-2020'!$B$4:$B$23,'2019-2020'!AA$4:AA$23)</f>
        <v>14298</v>
      </c>
      <c r="AA88">
        <f>_xlfn.XLOOKUP($A88,'2019-2020'!$B$4:$B$23,'2019-2020'!AB$4:AB$23)</f>
        <v>40</v>
      </c>
      <c r="AB88">
        <f>_xlfn.XLOOKUP($A88,'2019-2020'!$B$4:$B$23,'2019-2020'!AC$4:AC$23)</f>
        <v>2601</v>
      </c>
      <c r="AC88">
        <f>_xlfn.XLOOKUP($A88,'2019-2020'!$B$4:$B$23,'2019-2020'!AD$4:AD$23)</f>
        <v>718</v>
      </c>
      <c r="AD88">
        <f>_xlfn.XLOOKUP($A88,'2019-2020'!$B$4:$B$23,'2019-2020'!AE$4:AE$23)</f>
        <v>193</v>
      </c>
      <c r="AE88">
        <f>_xlfn.XLOOKUP($A88,'2019-2020'!$B$4:$B$23,'2019-2020'!AF$4:AF$23)</f>
        <v>116.7</v>
      </c>
      <c r="AF88">
        <f>_xlfn.XLOOKUP($A88,'2019-2020'!$B$4:$B$23,'2019-2020'!AG$4:AG$23)</f>
        <v>24.1</v>
      </c>
      <c r="AG88">
        <f>_xlfn.XLOOKUP($A88,'2019-2020'!$B$4:$B$23,'2019-2020'!AH$4:AH$23)</f>
        <v>28</v>
      </c>
      <c r="AH88">
        <f>_xlfn.XLOOKUP($A88,'2019-2020'!$B$4:$B$23,'2019-2020'!AI$4:AI$23)</f>
        <v>26</v>
      </c>
      <c r="AI88">
        <f>_xlfn.XLOOKUP($A88,'2019-2020'!$B$4:$B$23,'2019-2020'!AJ$4:AJ$23)</f>
        <v>320.33</v>
      </c>
      <c r="AJ88">
        <f>_xlfn.XLOOKUP($A88,'2019-2020'!$B$4:$B$23,'2019-2020'!AK$4:AK$23)</f>
        <v>44</v>
      </c>
      <c r="AK88">
        <f>_xlfn.XLOOKUP($A88,'2019-2020'!$B$4:$B$23,'2019-2020'!AL$4:AL$23)</f>
        <v>7.2802272727272728</v>
      </c>
      <c r="AL88">
        <f>_xlfn.XLOOKUP($A88,'2019-2020'!$B$4:$B$23,'2019-2020'!AM$4:AM$23)</f>
        <v>24758</v>
      </c>
      <c r="AM88">
        <f>_xlfn.XLOOKUP($A88,'2019-2020'!$B$4:$B$23,'2019-2020'!AN$4:AN$23)</f>
        <v>0.06</v>
      </c>
      <c r="AN88">
        <f>_xlfn.XLOOKUP($A88,'2019-2020'!$B$4:$B$23,'2019-2020'!AO$4:AO$23)</f>
        <v>1</v>
      </c>
      <c r="AO88">
        <f>_xlfn.XLOOKUP($A88,'2019-2020'!$B$4:$B$23,'2019-2020'!AP$4:AP$23)</f>
        <v>0</v>
      </c>
      <c r="AP88">
        <f>_xlfn.XLOOKUP($A88,'2019-2020'!$B$4:$B$23,'2019-2020'!AQ$4:AQ$23)</f>
        <v>0</v>
      </c>
      <c r="AQ88">
        <f>_xlfn.XLOOKUP($A88,'2019-2020'!$B$4:$B$23,'2019-2020'!AR$4:AR$23)</f>
        <v>0</v>
      </c>
      <c r="AR88">
        <f>_xlfn.XLOOKUP($A88,'2019-2020'!$B$4:$B$23,'2019-2020'!AS$4:AS$23)</f>
        <v>0</v>
      </c>
      <c r="AS88" t="str">
        <f>_xlfn.XLOOKUP($A88,'2019-2020'!$B$4:$B$23,'2019-2020'!AT$4:AT$23)</f>
        <v>19/20</v>
      </c>
    </row>
    <row r="89" spans="1:45" x14ac:dyDescent="0.25">
      <c r="A89">
        <v>8</v>
      </c>
      <c r="B89" t="str">
        <f>_xlfn.XLOOKUP($A89,'2019-2020'!$B$4:$B$23,'2019-2020'!C$4:C$23)</f>
        <v>Arsenal</v>
      </c>
      <c r="C89">
        <f>_xlfn.XLOOKUP($A89,'2019-2020'!$B$4:$B$23,'2019-2020'!D$4:D$23)</f>
        <v>56</v>
      </c>
      <c r="D89">
        <f>_xlfn.XLOOKUP($A89,'2019-2020'!$B$4:$B$23,'2019-2020'!E$4:E$23)</f>
        <v>48</v>
      </c>
      <c r="E89">
        <f>_xlfn.XLOOKUP($A89,'2019-2020'!$B$4:$B$23,'2019-2020'!F$4:F$23)</f>
        <v>8</v>
      </c>
      <c r="F89">
        <f>_xlfn.XLOOKUP($A89,'2019-2020'!$B$4:$B$23,'2019-2020'!G$4:G$23)</f>
        <v>10</v>
      </c>
      <c r="G89">
        <f>_xlfn.XLOOKUP($A89,'2019-2020'!$B$4:$B$23,'2019-2020'!H$4:H$23)</f>
        <v>86</v>
      </c>
      <c r="H89">
        <f>_xlfn.XLOOKUP($A89,'2019-2020'!$B$4:$B$23,'2019-2020'!I$4:I$23)</f>
        <v>5</v>
      </c>
      <c r="I89">
        <f>_xlfn.XLOOKUP($A89,'2019-2020'!$B$4:$B$23,'2019-2020'!J$4:J$23)</f>
        <v>47</v>
      </c>
      <c r="J89">
        <f>_xlfn.XLOOKUP($A89,'2019-2020'!$B$4:$B$23,'2019-2020'!K$4:K$23)</f>
        <v>55.3</v>
      </c>
      <c r="K89">
        <f>_xlfn.XLOOKUP($A89,'2019-2020'!$B$4:$B$23,'2019-2020'!L$4:L$23)</f>
        <v>9</v>
      </c>
      <c r="L89">
        <f>_xlfn.XLOOKUP($A89,'2019-2020'!$B$4:$B$23,'2019-2020'!M$4:M$23)</f>
        <v>403</v>
      </c>
      <c r="M89">
        <f>_xlfn.XLOOKUP($A89,'2019-2020'!$B$4:$B$23,'2019-2020'!N$4:N$23)</f>
        <v>146</v>
      </c>
      <c r="N89">
        <f>_xlfn.XLOOKUP($A89,'2019-2020'!$B$4:$B$23,'2019-2020'!O$4:O$23)</f>
        <v>3</v>
      </c>
      <c r="O89">
        <f>_xlfn.XLOOKUP($A89,'2019-2020'!$B$4:$B$23,'2019-2020'!P$4:P$23)</f>
        <v>5</v>
      </c>
      <c r="P89">
        <f>_xlfn.XLOOKUP($A89,'2019-2020'!$B$4:$B$23,'2019-2020'!Q$4:Q$23)</f>
        <v>51</v>
      </c>
      <c r="Q89">
        <f>_xlfn.XLOOKUP($A89,'2019-2020'!$B$4:$B$23,'2019-2020'!R$4:R$23)</f>
        <v>5</v>
      </c>
      <c r="R89">
        <f>_xlfn.XLOOKUP($A89,'2019-2020'!$B$4:$B$23,'2019-2020'!S$4:S$23)</f>
        <v>2</v>
      </c>
      <c r="S89">
        <f>_xlfn.XLOOKUP($A89,'2019-2020'!$B$4:$B$23,'2019-2020'!T$4:T$23)</f>
        <v>73</v>
      </c>
      <c r="T89">
        <f>_xlfn.XLOOKUP($A89,'2019-2020'!$B$4:$B$23,'2019-2020'!U$4:U$23)</f>
        <v>0</v>
      </c>
      <c r="U89">
        <f>_xlfn.XLOOKUP($A89,'2019-2020'!$B$4:$B$23,'2019-2020'!V$4:V$23)</f>
        <v>8</v>
      </c>
      <c r="V89">
        <f>_xlfn.XLOOKUP($A89,'2019-2020'!$B$4:$B$23,'2019-2020'!W$4:W$23)</f>
        <v>144</v>
      </c>
      <c r="W89">
        <f>_xlfn.XLOOKUP($A89,'2019-2020'!$B$4:$B$23,'2019-2020'!X$4:X$23)</f>
        <v>754</v>
      </c>
      <c r="X89">
        <f>_xlfn.XLOOKUP($A89,'2019-2020'!$B$4:$B$23,'2019-2020'!Y$4:Y$23)</f>
        <v>584</v>
      </c>
      <c r="Y89">
        <f>_xlfn.XLOOKUP($A89,'2019-2020'!$B$4:$B$23,'2019-2020'!Z$4:Z$23)</f>
        <v>421</v>
      </c>
      <c r="Z89">
        <f>_xlfn.XLOOKUP($A89,'2019-2020'!$B$4:$B$23,'2019-2020'!AA$4:AA$23)</f>
        <v>16634</v>
      </c>
      <c r="AA89">
        <f>_xlfn.XLOOKUP($A89,'2019-2020'!$B$4:$B$23,'2019-2020'!AB$4:AB$23)</f>
        <v>67</v>
      </c>
      <c r="AB89">
        <f>_xlfn.XLOOKUP($A89,'2019-2020'!$B$4:$B$23,'2019-2020'!AC$4:AC$23)</f>
        <v>3032</v>
      </c>
      <c r="AC89">
        <f>_xlfn.XLOOKUP($A89,'2019-2020'!$B$4:$B$23,'2019-2020'!AD$4:AD$23)</f>
        <v>699</v>
      </c>
      <c r="AD89">
        <f>_xlfn.XLOOKUP($A89,'2019-2020'!$B$4:$B$23,'2019-2020'!AE$4:AE$23)</f>
        <v>231</v>
      </c>
      <c r="AE89">
        <f>_xlfn.XLOOKUP($A89,'2019-2020'!$B$4:$B$23,'2019-2020'!AF$4:AF$23)</f>
        <v>160.80000000000001</v>
      </c>
      <c r="AF89">
        <f>_xlfn.XLOOKUP($A89,'2019-2020'!$B$4:$B$23,'2019-2020'!AG$4:AG$23)</f>
        <v>53.65</v>
      </c>
      <c r="AG89">
        <f>_xlfn.XLOOKUP($A89,'2019-2020'!$B$4:$B$23,'2019-2020'!AH$4:AH$23)</f>
        <v>16</v>
      </c>
      <c r="AH89">
        <f>_xlfn.XLOOKUP($A89,'2019-2020'!$B$4:$B$23,'2019-2020'!AI$4:AI$23)</f>
        <v>19</v>
      </c>
      <c r="AI89">
        <f>_xlfn.XLOOKUP($A89,'2019-2020'!$B$4:$B$23,'2019-2020'!AJ$4:AJ$23)</f>
        <v>607.65</v>
      </c>
      <c r="AJ89">
        <f>_xlfn.XLOOKUP($A89,'2019-2020'!$B$4:$B$23,'2019-2020'!AK$4:AK$23)</f>
        <v>38</v>
      </c>
      <c r="AK89">
        <f>_xlfn.XLOOKUP($A89,'2019-2020'!$B$4:$B$23,'2019-2020'!AL$4:AL$23)</f>
        <v>15.99078947368421</v>
      </c>
      <c r="AL89">
        <f>_xlfn.XLOOKUP($A89,'2019-2020'!$B$4:$B$23,'2019-2020'!AM$4:AM$23)</f>
        <v>47589</v>
      </c>
      <c r="AM89">
        <f>_xlfn.XLOOKUP($A89,'2019-2020'!$B$4:$B$23,'2019-2020'!AN$4:AN$23)</f>
        <v>0</v>
      </c>
      <c r="AN89">
        <f>_xlfn.XLOOKUP($A89,'2019-2020'!$B$4:$B$23,'2019-2020'!AO$4:AO$23)</f>
        <v>1</v>
      </c>
      <c r="AO89">
        <f>_xlfn.XLOOKUP($A89,'2019-2020'!$B$4:$B$23,'2019-2020'!AP$4:AP$23)</f>
        <v>0</v>
      </c>
      <c r="AP89">
        <f>_xlfn.XLOOKUP($A89,'2019-2020'!$B$4:$B$23,'2019-2020'!AQ$4:AQ$23)</f>
        <v>0</v>
      </c>
      <c r="AQ89">
        <f>_xlfn.XLOOKUP($A89,'2019-2020'!$B$4:$B$23,'2019-2020'!AR$4:AR$23)</f>
        <v>0</v>
      </c>
      <c r="AR89">
        <f>_xlfn.XLOOKUP($A89,'2019-2020'!$B$4:$B$23,'2019-2020'!AS$4:AS$23)</f>
        <v>1</v>
      </c>
      <c r="AS89" t="str">
        <f>_xlfn.XLOOKUP($A89,'2019-2020'!$B$4:$B$23,'2019-2020'!AT$4:AT$23)</f>
        <v>19/20</v>
      </c>
    </row>
    <row r="90" spans="1:45" x14ac:dyDescent="0.25">
      <c r="A90">
        <v>9</v>
      </c>
      <c r="B90" t="str">
        <f>_xlfn.XLOOKUP($A90,'2019-2020'!$B$4:$B$23,'2019-2020'!C$4:C$23)</f>
        <v>Sheffield United</v>
      </c>
      <c r="C90">
        <f>_xlfn.XLOOKUP($A90,'2019-2020'!$B$4:$B$23,'2019-2020'!D$4:D$23)</f>
        <v>39</v>
      </c>
      <c r="D90">
        <f>_xlfn.XLOOKUP($A90,'2019-2020'!$B$4:$B$23,'2019-2020'!E$4:E$23)</f>
        <v>39</v>
      </c>
      <c r="E90">
        <f>_xlfn.XLOOKUP($A90,'2019-2020'!$B$4:$B$23,'2019-2020'!F$4:F$23)</f>
        <v>0</v>
      </c>
      <c r="F90">
        <f>_xlfn.XLOOKUP($A90,'2019-2020'!$B$4:$B$23,'2019-2020'!G$4:G$23)</f>
        <v>13</v>
      </c>
      <c r="G90">
        <f>_xlfn.XLOOKUP($A90,'2019-2020'!$B$4:$B$23,'2019-2020'!H$4:H$23)</f>
        <v>61</v>
      </c>
      <c r="H90">
        <f>_xlfn.XLOOKUP($A90,'2019-2020'!$B$4:$B$23,'2019-2020'!I$4:I$23)</f>
        <v>3</v>
      </c>
      <c r="I90">
        <f>_xlfn.XLOOKUP($A90,'2019-2020'!$B$4:$B$23,'2019-2020'!J$4:J$23)</f>
        <v>43</v>
      </c>
      <c r="J90">
        <f>_xlfn.XLOOKUP($A90,'2019-2020'!$B$4:$B$23,'2019-2020'!K$4:K$23)</f>
        <v>51</v>
      </c>
      <c r="K90">
        <f>_xlfn.XLOOKUP($A90,'2019-2020'!$B$4:$B$23,'2019-2020'!L$4:L$23)</f>
        <v>-4</v>
      </c>
      <c r="L90">
        <f>_xlfn.XLOOKUP($A90,'2019-2020'!$B$4:$B$23,'2019-2020'!M$4:M$23)</f>
        <v>352</v>
      </c>
      <c r="M90">
        <f>_xlfn.XLOOKUP($A90,'2019-2020'!$B$4:$B$23,'2019-2020'!N$4:N$23)</f>
        <v>109</v>
      </c>
      <c r="N90">
        <f>_xlfn.XLOOKUP($A90,'2019-2020'!$B$4:$B$23,'2019-2020'!O$4:O$23)</f>
        <v>1</v>
      </c>
      <c r="O90">
        <f>_xlfn.XLOOKUP($A90,'2019-2020'!$B$4:$B$23,'2019-2020'!P$4:P$23)</f>
        <v>5</v>
      </c>
      <c r="P90">
        <f>_xlfn.XLOOKUP($A90,'2019-2020'!$B$4:$B$23,'2019-2020'!Q$4:Q$23)</f>
        <v>38</v>
      </c>
      <c r="Q90">
        <f>_xlfn.XLOOKUP($A90,'2019-2020'!$B$4:$B$23,'2019-2020'!R$4:R$23)</f>
        <v>1</v>
      </c>
      <c r="R90">
        <f>_xlfn.XLOOKUP($A90,'2019-2020'!$B$4:$B$23,'2019-2020'!S$4:S$23)</f>
        <v>3</v>
      </c>
      <c r="S90">
        <f>_xlfn.XLOOKUP($A90,'2019-2020'!$B$4:$B$23,'2019-2020'!T$4:T$23)</f>
        <v>78</v>
      </c>
      <c r="T90">
        <f>_xlfn.XLOOKUP($A90,'2019-2020'!$B$4:$B$23,'2019-2020'!U$4:U$23)</f>
        <v>0</v>
      </c>
      <c r="U90">
        <f>_xlfn.XLOOKUP($A90,'2019-2020'!$B$4:$B$23,'2019-2020'!V$4:V$23)</f>
        <v>3</v>
      </c>
      <c r="V90">
        <f>_xlfn.XLOOKUP($A90,'2019-2020'!$B$4:$B$23,'2019-2020'!W$4:W$23)</f>
        <v>99</v>
      </c>
      <c r="W90">
        <f>_xlfn.XLOOKUP($A90,'2019-2020'!$B$4:$B$23,'2019-2020'!X$4:X$23)</f>
        <v>931</v>
      </c>
      <c r="X90">
        <f>_xlfn.XLOOKUP($A90,'2019-2020'!$B$4:$B$23,'2019-2020'!Y$4:Y$23)</f>
        <v>611</v>
      </c>
      <c r="Y90">
        <f>_xlfn.XLOOKUP($A90,'2019-2020'!$B$4:$B$23,'2019-2020'!Z$4:Z$23)</f>
        <v>412</v>
      </c>
      <c r="Z90">
        <f>_xlfn.XLOOKUP($A90,'2019-2020'!$B$4:$B$23,'2019-2020'!AA$4:AA$23)</f>
        <v>12125</v>
      </c>
      <c r="AA90">
        <f>_xlfn.XLOOKUP($A90,'2019-2020'!$B$4:$B$23,'2019-2020'!AB$4:AB$23)</f>
        <v>15</v>
      </c>
      <c r="AB90">
        <f>_xlfn.XLOOKUP($A90,'2019-2020'!$B$4:$B$23,'2019-2020'!AC$4:AC$23)</f>
        <v>2312</v>
      </c>
      <c r="AC90">
        <f>_xlfn.XLOOKUP($A90,'2019-2020'!$B$4:$B$23,'2019-2020'!AD$4:AD$23)</f>
        <v>866</v>
      </c>
      <c r="AD90">
        <f>_xlfn.XLOOKUP($A90,'2019-2020'!$B$4:$B$23,'2019-2020'!AE$4:AE$23)</f>
        <v>212</v>
      </c>
      <c r="AE90">
        <f>_xlfn.XLOOKUP($A90,'2019-2020'!$B$4:$B$23,'2019-2020'!AF$4:AF$23)</f>
        <v>70.5</v>
      </c>
      <c r="AF90">
        <f>_xlfn.XLOOKUP($A90,'2019-2020'!$B$4:$B$23,'2019-2020'!AG$4:AG$23)</f>
        <v>0.35</v>
      </c>
      <c r="AG90">
        <f>_xlfn.XLOOKUP($A90,'2019-2020'!$B$4:$B$23,'2019-2020'!AH$4:AH$23)</f>
        <v>23</v>
      </c>
      <c r="AH90">
        <f>_xlfn.XLOOKUP($A90,'2019-2020'!$B$4:$B$23,'2019-2020'!AI$4:AI$23)</f>
        <v>21</v>
      </c>
      <c r="AI90">
        <f>_xlfn.XLOOKUP($A90,'2019-2020'!$B$4:$B$23,'2019-2020'!AJ$4:AJ$23)</f>
        <v>138.6</v>
      </c>
      <c r="AJ90">
        <f>_xlfn.XLOOKUP($A90,'2019-2020'!$B$4:$B$23,'2019-2020'!AK$4:AK$23)</f>
        <v>34</v>
      </c>
      <c r="AK90">
        <f>_xlfn.XLOOKUP($A90,'2019-2020'!$B$4:$B$23,'2019-2020'!AL$4:AL$23)</f>
        <v>4.0764705882352938</v>
      </c>
      <c r="AL90">
        <f>_xlfn.XLOOKUP($A90,'2019-2020'!$B$4:$B$23,'2019-2020'!AM$4:AM$23)</f>
        <v>24370</v>
      </c>
      <c r="AM90">
        <f>_xlfn.XLOOKUP($A90,'2019-2020'!$B$4:$B$23,'2019-2020'!AN$4:AN$23)</f>
        <v>0.23</v>
      </c>
      <c r="AN90">
        <f>_xlfn.XLOOKUP($A90,'2019-2020'!$B$4:$B$23,'2019-2020'!AO$4:AO$23)</f>
        <v>0</v>
      </c>
      <c r="AO90">
        <f>_xlfn.XLOOKUP($A90,'2019-2020'!$B$4:$B$23,'2019-2020'!AP$4:AP$23)</f>
        <v>1</v>
      </c>
      <c r="AP90">
        <f>_xlfn.XLOOKUP($A90,'2019-2020'!$B$4:$B$23,'2019-2020'!AQ$4:AQ$23)</f>
        <v>0</v>
      </c>
      <c r="AQ90">
        <f>_xlfn.XLOOKUP($A90,'2019-2020'!$B$4:$B$23,'2019-2020'!AR$4:AR$23)</f>
        <v>0</v>
      </c>
      <c r="AR90">
        <f>_xlfn.XLOOKUP($A90,'2019-2020'!$B$4:$B$23,'2019-2020'!AS$4:AS$23)</f>
        <v>0</v>
      </c>
      <c r="AS90" t="str">
        <f>_xlfn.XLOOKUP($A90,'2019-2020'!$B$4:$B$23,'2019-2020'!AT$4:AT$23)</f>
        <v>19/20</v>
      </c>
    </row>
    <row r="91" spans="1:45" x14ac:dyDescent="0.25">
      <c r="A91">
        <v>10</v>
      </c>
      <c r="B91" t="str">
        <f>_xlfn.XLOOKUP($A91,'2019-2020'!$B$4:$B$23,'2019-2020'!C$4:C$23)</f>
        <v>Burnley</v>
      </c>
      <c r="C91">
        <f>_xlfn.XLOOKUP($A91,'2019-2020'!$B$4:$B$23,'2019-2020'!D$4:D$23)</f>
        <v>43</v>
      </c>
      <c r="D91">
        <f>_xlfn.XLOOKUP($A91,'2019-2020'!$B$4:$B$23,'2019-2020'!E$4:E$23)</f>
        <v>50</v>
      </c>
      <c r="E91">
        <f>_xlfn.XLOOKUP($A91,'2019-2020'!$B$4:$B$23,'2019-2020'!F$4:F$23)</f>
        <v>-7</v>
      </c>
      <c r="F91">
        <f>_xlfn.XLOOKUP($A91,'2019-2020'!$B$4:$B$23,'2019-2020'!G$4:G$23)</f>
        <v>15</v>
      </c>
      <c r="G91">
        <f>_xlfn.XLOOKUP($A91,'2019-2020'!$B$4:$B$23,'2019-2020'!H$4:H$23)</f>
        <v>67</v>
      </c>
      <c r="H91">
        <f>_xlfn.XLOOKUP($A91,'2019-2020'!$B$4:$B$23,'2019-2020'!I$4:I$23)</f>
        <v>0</v>
      </c>
      <c r="I91">
        <f>_xlfn.XLOOKUP($A91,'2019-2020'!$B$4:$B$23,'2019-2020'!J$4:J$23)</f>
        <v>47.4</v>
      </c>
      <c r="J91">
        <f>_xlfn.XLOOKUP($A91,'2019-2020'!$B$4:$B$23,'2019-2020'!K$4:K$23)</f>
        <v>49.8</v>
      </c>
      <c r="K91">
        <f>_xlfn.XLOOKUP($A91,'2019-2020'!$B$4:$B$23,'2019-2020'!L$4:L$23)</f>
        <v>-4.3999999999999986</v>
      </c>
      <c r="L91">
        <f>_xlfn.XLOOKUP($A91,'2019-2020'!$B$4:$B$23,'2019-2020'!M$4:M$23)</f>
        <v>384</v>
      </c>
      <c r="M91">
        <f>_xlfn.XLOOKUP($A91,'2019-2020'!$B$4:$B$23,'2019-2020'!N$4:N$23)</f>
        <v>124</v>
      </c>
      <c r="N91">
        <f>_xlfn.XLOOKUP($A91,'2019-2020'!$B$4:$B$23,'2019-2020'!O$4:O$23)</f>
        <v>3</v>
      </c>
      <c r="O91">
        <f>_xlfn.XLOOKUP($A91,'2019-2020'!$B$4:$B$23,'2019-2020'!P$4:P$23)</f>
        <v>12</v>
      </c>
      <c r="P91">
        <f>_xlfn.XLOOKUP($A91,'2019-2020'!$B$4:$B$23,'2019-2020'!Q$4:Q$23)</f>
        <v>37</v>
      </c>
      <c r="Q91">
        <f>_xlfn.XLOOKUP($A91,'2019-2020'!$B$4:$B$23,'2019-2020'!R$4:R$23)</f>
        <v>6</v>
      </c>
      <c r="R91">
        <f>_xlfn.XLOOKUP($A91,'2019-2020'!$B$4:$B$23,'2019-2020'!S$4:S$23)</f>
        <v>2</v>
      </c>
      <c r="S91">
        <f>_xlfn.XLOOKUP($A91,'2019-2020'!$B$4:$B$23,'2019-2020'!T$4:T$23)</f>
        <v>89</v>
      </c>
      <c r="T91">
        <f>_xlfn.XLOOKUP($A91,'2019-2020'!$B$4:$B$23,'2019-2020'!U$4:U$23)</f>
        <v>1</v>
      </c>
      <c r="U91">
        <f>_xlfn.XLOOKUP($A91,'2019-2020'!$B$4:$B$23,'2019-2020'!V$4:V$23)</f>
        <v>5</v>
      </c>
      <c r="V91">
        <f>_xlfn.XLOOKUP($A91,'2019-2020'!$B$4:$B$23,'2019-2020'!W$4:W$23)</f>
        <v>117</v>
      </c>
      <c r="W91">
        <f>_xlfn.XLOOKUP($A91,'2019-2020'!$B$4:$B$23,'2019-2020'!X$4:X$23)</f>
        <v>901</v>
      </c>
      <c r="X91">
        <f>_xlfn.XLOOKUP($A91,'2019-2020'!$B$4:$B$23,'2019-2020'!Y$4:Y$23)</f>
        <v>547</v>
      </c>
      <c r="Y91">
        <f>_xlfn.XLOOKUP($A91,'2019-2020'!$B$4:$B$23,'2019-2020'!Z$4:Z$23)</f>
        <v>412</v>
      </c>
      <c r="Z91">
        <f>_xlfn.XLOOKUP($A91,'2019-2020'!$B$4:$B$23,'2019-2020'!AA$4:AA$23)</f>
        <v>10049</v>
      </c>
      <c r="AA91">
        <f>_xlfn.XLOOKUP($A91,'2019-2020'!$B$4:$B$23,'2019-2020'!AB$4:AB$23)</f>
        <v>29</v>
      </c>
      <c r="AB91">
        <f>_xlfn.XLOOKUP($A91,'2019-2020'!$B$4:$B$23,'2019-2020'!AC$4:AC$23)</f>
        <v>1983</v>
      </c>
      <c r="AC91">
        <f>_xlfn.XLOOKUP($A91,'2019-2020'!$B$4:$B$23,'2019-2020'!AD$4:AD$23)</f>
        <v>743</v>
      </c>
      <c r="AD91">
        <f>_xlfn.XLOOKUP($A91,'2019-2020'!$B$4:$B$23,'2019-2020'!AE$4:AE$23)</f>
        <v>170</v>
      </c>
      <c r="AE91">
        <f>_xlfn.XLOOKUP($A91,'2019-2020'!$B$4:$B$23,'2019-2020'!AF$4:AF$23)</f>
        <v>23.85</v>
      </c>
      <c r="AF91">
        <f>_xlfn.XLOOKUP($A91,'2019-2020'!$B$4:$B$23,'2019-2020'!AG$4:AG$23)</f>
        <v>13.55</v>
      </c>
      <c r="AG91">
        <f>_xlfn.XLOOKUP($A91,'2019-2020'!$B$4:$B$23,'2019-2020'!AH$4:AH$23)</f>
        <v>8</v>
      </c>
      <c r="AH91">
        <f>_xlfn.XLOOKUP($A91,'2019-2020'!$B$4:$B$23,'2019-2020'!AI$4:AI$23)</f>
        <v>10</v>
      </c>
      <c r="AI91">
        <f>_xlfn.XLOOKUP($A91,'2019-2020'!$B$4:$B$23,'2019-2020'!AJ$4:AJ$23)</f>
        <v>163.88</v>
      </c>
      <c r="AJ91">
        <f>_xlfn.XLOOKUP($A91,'2019-2020'!$B$4:$B$23,'2019-2020'!AK$4:AK$23)</f>
        <v>35</v>
      </c>
      <c r="AK91">
        <f>_xlfn.XLOOKUP($A91,'2019-2020'!$B$4:$B$23,'2019-2020'!AL$4:AL$23)</f>
        <v>4.6822857142857144</v>
      </c>
      <c r="AL91">
        <f>_xlfn.XLOOKUP($A91,'2019-2020'!$B$4:$B$23,'2019-2020'!AM$4:AM$23)</f>
        <v>15995</v>
      </c>
      <c r="AM91">
        <f>_xlfn.XLOOKUP($A91,'2019-2020'!$B$4:$B$23,'2019-2020'!AN$4:AN$23)</f>
        <v>0.1</v>
      </c>
      <c r="AN91">
        <f>_xlfn.XLOOKUP($A91,'2019-2020'!$B$4:$B$23,'2019-2020'!AO$4:AO$23)</f>
        <v>0</v>
      </c>
      <c r="AO91">
        <f>_xlfn.XLOOKUP($A91,'2019-2020'!$B$4:$B$23,'2019-2020'!AP$4:AP$23)</f>
        <v>0</v>
      </c>
      <c r="AP91">
        <f>_xlfn.XLOOKUP($A91,'2019-2020'!$B$4:$B$23,'2019-2020'!AQ$4:AQ$23)</f>
        <v>0</v>
      </c>
      <c r="AQ91">
        <f>_xlfn.XLOOKUP($A91,'2019-2020'!$B$4:$B$23,'2019-2020'!AR$4:AR$23)</f>
        <v>0</v>
      </c>
      <c r="AR91">
        <f>_xlfn.XLOOKUP($A91,'2019-2020'!$B$4:$B$23,'2019-2020'!AS$4:AS$23)</f>
        <v>0</v>
      </c>
      <c r="AS91" t="str">
        <f>_xlfn.XLOOKUP($A91,'2019-2020'!$B$4:$B$23,'2019-2020'!AT$4:AT$23)</f>
        <v>19/20</v>
      </c>
    </row>
    <row r="92" spans="1:45" x14ac:dyDescent="0.25">
      <c r="A92">
        <v>11</v>
      </c>
      <c r="B92" t="str">
        <f>_xlfn.XLOOKUP($A92,'2019-2020'!$B$4:$B$23,'2019-2020'!C$4:C$23)</f>
        <v>Southampton</v>
      </c>
      <c r="C92">
        <f>_xlfn.XLOOKUP($A92,'2019-2020'!$B$4:$B$23,'2019-2020'!D$4:D$23)</f>
        <v>51</v>
      </c>
      <c r="D92">
        <f>_xlfn.XLOOKUP($A92,'2019-2020'!$B$4:$B$23,'2019-2020'!E$4:E$23)</f>
        <v>60</v>
      </c>
      <c r="E92">
        <f>_xlfn.XLOOKUP($A92,'2019-2020'!$B$4:$B$23,'2019-2020'!F$4:F$23)</f>
        <v>-9</v>
      </c>
      <c r="F92">
        <f>_xlfn.XLOOKUP($A92,'2019-2020'!$B$4:$B$23,'2019-2020'!G$4:G$23)</f>
        <v>9</v>
      </c>
      <c r="G92">
        <f>_xlfn.XLOOKUP($A92,'2019-2020'!$B$4:$B$23,'2019-2020'!H$4:H$23)</f>
        <v>53</v>
      </c>
      <c r="H92">
        <f>_xlfn.XLOOKUP($A92,'2019-2020'!$B$4:$B$23,'2019-2020'!I$4:I$23)</f>
        <v>4</v>
      </c>
      <c r="I92">
        <f>_xlfn.XLOOKUP($A92,'2019-2020'!$B$4:$B$23,'2019-2020'!J$4:J$23)</f>
        <v>56.1</v>
      </c>
      <c r="J92">
        <f>_xlfn.XLOOKUP($A92,'2019-2020'!$B$4:$B$23,'2019-2020'!K$4:K$23)</f>
        <v>52.8</v>
      </c>
      <c r="K92">
        <f>_xlfn.XLOOKUP($A92,'2019-2020'!$B$4:$B$23,'2019-2020'!L$4:L$23)</f>
        <v>-5.1000000000000014</v>
      </c>
      <c r="L92">
        <f>_xlfn.XLOOKUP($A92,'2019-2020'!$B$4:$B$23,'2019-2020'!M$4:M$23)</f>
        <v>494</v>
      </c>
      <c r="M92">
        <f>_xlfn.XLOOKUP($A92,'2019-2020'!$B$4:$B$23,'2019-2020'!N$4:N$23)</f>
        <v>171</v>
      </c>
      <c r="N92">
        <f>_xlfn.XLOOKUP($A92,'2019-2020'!$B$4:$B$23,'2019-2020'!O$4:O$23)</f>
        <v>2</v>
      </c>
      <c r="O92">
        <f>_xlfn.XLOOKUP($A92,'2019-2020'!$B$4:$B$23,'2019-2020'!P$4:P$23)</f>
        <v>4</v>
      </c>
      <c r="P92">
        <f>_xlfn.XLOOKUP($A92,'2019-2020'!$B$4:$B$23,'2019-2020'!Q$4:Q$23)</f>
        <v>39</v>
      </c>
      <c r="Q92">
        <f>_xlfn.XLOOKUP($A92,'2019-2020'!$B$4:$B$23,'2019-2020'!R$4:R$23)</f>
        <v>12</v>
      </c>
      <c r="R92">
        <f>_xlfn.XLOOKUP($A92,'2019-2020'!$B$4:$B$23,'2019-2020'!S$4:S$23)</f>
        <v>2</v>
      </c>
      <c r="S92">
        <f>_xlfn.XLOOKUP($A92,'2019-2020'!$B$4:$B$23,'2019-2020'!T$4:T$23)</f>
        <v>58</v>
      </c>
      <c r="T92">
        <f>_xlfn.XLOOKUP($A92,'2019-2020'!$B$4:$B$23,'2019-2020'!U$4:U$23)</f>
        <v>1</v>
      </c>
      <c r="U92">
        <f>_xlfn.XLOOKUP($A92,'2019-2020'!$B$4:$B$23,'2019-2020'!V$4:V$23)</f>
        <v>4</v>
      </c>
      <c r="V92">
        <f>_xlfn.XLOOKUP($A92,'2019-2020'!$B$4:$B$23,'2019-2020'!W$4:W$23)</f>
        <v>108</v>
      </c>
      <c r="W92">
        <f>_xlfn.XLOOKUP($A92,'2019-2020'!$B$4:$B$23,'2019-2020'!X$4:X$23)</f>
        <v>867</v>
      </c>
      <c r="X92">
        <f>_xlfn.XLOOKUP($A92,'2019-2020'!$B$4:$B$23,'2019-2020'!Y$4:Y$23)</f>
        <v>706</v>
      </c>
      <c r="Y92">
        <f>_xlfn.XLOOKUP($A92,'2019-2020'!$B$4:$B$23,'2019-2020'!Z$4:Z$23)</f>
        <v>450</v>
      </c>
      <c r="Z92">
        <f>_xlfn.XLOOKUP($A92,'2019-2020'!$B$4:$B$23,'2019-2020'!AA$4:AA$23)</f>
        <v>12488</v>
      </c>
      <c r="AA92">
        <f>_xlfn.XLOOKUP($A92,'2019-2020'!$B$4:$B$23,'2019-2020'!AB$4:AB$23)</f>
        <v>27</v>
      </c>
      <c r="AB92">
        <f>_xlfn.XLOOKUP($A92,'2019-2020'!$B$4:$B$23,'2019-2020'!AC$4:AC$23)</f>
        <v>2400</v>
      </c>
      <c r="AC92">
        <f>_xlfn.XLOOKUP($A92,'2019-2020'!$B$4:$B$23,'2019-2020'!AD$4:AD$23)</f>
        <v>690</v>
      </c>
      <c r="AD92">
        <f>_xlfn.XLOOKUP($A92,'2019-2020'!$B$4:$B$23,'2019-2020'!AE$4:AE$23)</f>
        <v>210</v>
      </c>
      <c r="AE92">
        <f>_xlfn.XLOOKUP($A92,'2019-2020'!$B$4:$B$23,'2019-2020'!AF$4:AF$23)</f>
        <v>61.5</v>
      </c>
      <c r="AF92">
        <f>_xlfn.XLOOKUP($A92,'2019-2020'!$B$4:$B$23,'2019-2020'!AG$4:AG$23)</f>
        <v>27.3</v>
      </c>
      <c r="AG92">
        <f>_xlfn.XLOOKUP($A92,'2019-2020'!$B$4:$B$23,'2019-2020'!AH$4:AH$23)</f>
        <v>14</v>
      </c>
      <c r="AH92">
        <f>_xlfn.XLOOKUP($A92,'2019-2020'!$B$4:$B$23,'2019-2020'!AI$4:AI$23)</f>
        <v>17</v>
      </c>
      <c r="AI92">
        <f>_xlfn.XLOOKUP($A92,'2019-2020'!$B$4:$B$23,'2019-2020'!AJ$4:AJ$23)</f>
        <v>210.75</v>
      </c>
      <c r="AJ92">
        <f>_xlfn.XLOOKUP($A92,'2019-2020'!$B$4:$B$23,'2019-2020'!AK$4:AK$23)</f>
        <v>36</v>
      </c>
      <c r="AK92">
        <f>_xlfn.XLOOKUP($A92,'2019-2020'!$B$4:$B$23,'2019-2020'!AL$4:AL$23)</f>
        <v>5.854166666666667</v>
      </c>
      <c r="AL92">
        <f>_xlfn.XLOOKUP($A92,'2019-2020'!$B$4:$B$23,'2019-2020'!AM$4:AM$23)</f>
        <v>23428</v>
      </c>
      <c r="AM92">
        <f>_xlfn.XLOOKUP($A92,'2019-2020'!$B$4:$B$23,'2019-2020'!AN$4:AN$23)</f>
        <v>-0.17</v>
      </c>
      <c r="AN92">
        <f>_xlfn.XLOOKUP($A92,'2019-2020'!$B$4:$B$23,'2019-2020'!AO$4:AO$23)</f>
        <v>0</v>
      </c>
      <c r="AO92">
        <f>_xlfn.XLOOKUP($A92,'2019-2020'!$B$4:$B$23,'2019-2020'!AP$4:AP$23)</f>
        <v>0</v>
      </c>
      <c r="AP92">
        <f>_xlfn.XLOOKUP($A92,'2019-2020'!$B$4:$B$23,'2019-2020'!AQ$4:AQ$23)</f>
        <v>0</v>
      </c>
      <c r="AQ92">
        <f>_xlfn.XLOOKUP($A92,'2019-2020'!$B$4:$B$23,'2019-2020'!AR$4:AR$23)</f>
        <v>0</v>
      </c>
      <c r="AR92">
        <f>_xlfn.XLOOKUP($A92,'2019-2020'!$B$4:$B$23,'2019-2020'!AS$4:AS$23)</f>
        <v>0</v>
      </c>
      <c r="AS92" t="str">
        <f>_xlfn.XLOOKUP($A92,'2019-2020'!$B$4:$B$23,'2019-2020'!AT$4:AT$23)</f>
        <v>19/20</v>
      </c>
    </row>
    <row r="93" spans="1:45" x14ac:dyDescent="0.25">
      <c r="A93">
        <v>12</v>
      </c>
      <c r="B93" t="str">
        <f>_xlfn.XLOOKUP($A93,'2019-2020'!$B$4:$B$23,'2019-2020'!C$4:C$23)</f>
        <v>Everton</v>
      </c>
      <c r="C93">
        <f>_xlfn.XLOOKUP($A93,'2019-2020'!$B$4:$B$23,'2019-2020'!D$4:D$23)</f>
        <v>44</v>
      </c>
      <c r="D93">
        <f>_xlfn.XLOOKUP($A93,'2019-2020'!$B$4:$B$23,'2019-2020'!E$4:E$23)</f>
        <v>56</v>
      </c>
      <c r="E93">
        <f>_xlfn.XLOOKUP($A93,'2019-2020'!$B$4:$B$23,'2019-2020'!F$4:F$23)</f>
        <v>-12</v>
      </c>
      <c r="F93">
        <f>_xlfn.XLOOKUP($A93,'2019-2020'!$B$4:$B$23,'2019-2020'!G$4:G$23)</f>
        <v>9</v>
      </c>
      <c r="G93">
        <f>_xlfn.XLOOKUP($A93,'2019-2020'!$B$4:$B$23,'2019-2020'!H$4:H$23)</f>
        <v>70</v>
      </c>
      <c r="H93">
        <f>_xlfn.XLOOKUP($A93,'2019-2020'!$B$4:$B$23,'2019-2020'!I$4:I$23)</f>
        <v>3</v>
      </c>
      <c r="I93">
        <f>_xlfn.XLOOKUP($A93,'2019-2020'!$B$4:$B$23,'2019-2020'!J$4:J$23)</f>
        <v>50.8</v>
      </c>
      <c r="J93">
        <f>_xlfn.XLOOKUP($A93,'2019-2020'!$B$4:$B$23,'2019-2020'!K$4:K$23)</f>
        <v>48.3</v>
      </c>
      <c r="K93">
        <f>_xlfn.XLOOKUP($A93,'2019-2020'!$B$4:$B$23,'2019-2020'!L$4:L$23)</f>
        <v>-6.7999999999999972</v>
      </c>
      <c r="L93">
        <f>_xlfn.XLOOKUP($A93,'2019-2020'!$B$4:$B$23,'2019-2020'!M$4:M$23)</f>
        <v>468</v>
      </c>
      <c r="M93">
        <f>_xlfn.XLOOKUP($A93,'2019-2020'!$B$4:$B$23,'2019-2020'!N$4:N$23)</f>
        <v>159</v>
      </c>
      <c r="N93">
        <f>_xlfn.XLOOKUP($A93,'2019-2020'!$B$4:$B$23,'2019-2020'!O$4:O$23)</f>
        <v>1</v>
      </c>
      <c r="O93">
        <f>_xlfn.XLOOKUP($A93,'2019-2020'!$B$4:$B$23,'2019-2020'!P$4:P$23)</f>
        <v>16</v>
      </c>
      <c r="P93">
        <f>_xlfn.XLOOKUP($A93,'2019-2020'!$B$4:$B$23,'2019-2020'!Q$4:Q$23)</f>
        <v>43</v>
      </c>
      <c r="Q93">
        <f>_xlfn.XLOOKUP($A93,'2019-2020'!$B$4:$B$23,'2019-2020'!R$4:R$23)</f>
        <v>1</v>
      </c>
      <c r="R93">
        <f>_xlfn.XLOOKUP($A93,'2019-2020'!$B$4:$B$23,'2019-2020'!S$4:S$23)</f>
        <v>3</v>
      </c>
      <c r="S93">
        <f>_xlfn.XLOOKUP($A93,'2019-2020'!$B$4:$B$23,'2019-2020'!T$4:T$23)</f>
        <v>58</v>
      </c>
      <c r="T93">
        <f>_xlfn.XLOOKUP($A93,'2019-2020'!$B$4:$B$23,'2019-2020'!U$4:U$23)</f>
        <v>3</v>
      </c>
      <c r="U93">
        <f>_xlfn.XLOOKUP($A93,'2019-2020'!$B$4:$B$23,'2019-2020'!V$4:V$23)</f>
        <v>4</v>
      </c>
      <c r="V93">
        <f>_xlfn.XLOOKUP($A93,'2019-2020'!$B$4:$B$23,'2019-2020'!W$4:W$23)</f>
        <v>94</v>
      </c>
      <c r="W93">
        <f>_xlfn.XLOOKUP($A93,'2019-2020'!$B$4:$B$23,'2019-2020'!X$4:X$23)</f>
        <v>778</v>
      </c>
      <c r="X93">
        <f>_xlfn.XLOOKUP($A93,'2019-2020'!$B$4:$B$23,'2019-2020'!Y$4:Y$23)</f>
        <v>671</v>
      </c>
      <c r="Y93">
        <f>_xlfn.XLOOKUP($A93,'2019-2020'!$B$4:$B$23,'2019-2020'!Z$4:Z$23)</f>
        <v>472</v>
      </c>
      <c r="Z93">
        <f>_xlfn.XLOOKUP($A93,'2019-2020'!$B$4:$B$23,'2019-2020'!AA$4:AA$23)</f>
        <v>13433</v>
      </c>
      <c r="AA93">
        <f>_xlfn.XLOOKUP($A93,'2019-2020'!$B$4:$B$23,'2019-2020'!AB$4:AB$23)</f>
        <v>55</v>
      </c>
      <c r="AB93">
        <f>_xlfn.XLOOKUP($A93,'2019-2020'!$B$4:$B$23,'2019-2020'!AC$4:AC$23)</f>
        <v>2275</v>
      </c>
      <c r="AC93">
        <f>_xlfn.XLOOKUP($A93,'2019-2020'!$B$4:$B$23,'2019-2020'!AD$4:AD$23)</f>
        <v>804</v>
      </c>
      <c r="AD93">
        <f>_xlfn.XLOOKUP($A93,'2019-2020'!$B$4:$B$23,'2019-2020'!AE$4:AE$23)</f>
        <v>203</v>
      </c>
      <c r="AE93">
        <f>_xlfn.XLOOKUP($A93,'2019-2020'!$B$4:$B$23,'2019-2020'!AF$4:AF$23)</f>
        <v>121</v>
      </c>
      <c r="AF93">
        <f>_xlfn.XLOOKUP($A93,'2019-2020'!$B$4:$B$23,'2019-2020'!AG$4:AG$23)</f>
        <v>87.8</v>
      </c>
      <c r="AG93">
        <f>_xlfn.XLOOKUP($A93,'2019-2020'!$B$4:$B$23,'2019-2020'!AH$4:AH$23)</f>
        <v>22</v>
      </c>
      <c r="AH93">
        <f>_xlfn.XLOOKUP($A93,'2019-2020'!$B$4:$B$23,'2019-2020'!AI$4:AI$23)</f>
        <v>22</v>
      </c>
      <c r="AI93">
        <f>_xlfn.XLOOKUP($A93,'2019-2020'!$B$4:$B$23,'2019-2020'!AJ$4:AJ$23)</f>
        <v>420.55</v>
      </c>
      <c r="AJ93">
        <f>_xlfn.XLOOKUP($A93,'2019-2020'!$B$4:$B$23,'2019-2020'!AK$4:AK$23)</f>
        <v>35</v>
      </c>
      <c r="AK93">
        <f>_xlfn.XLOOKUP($A93,'2019-2020'!$B$4:$B$23,'2019-2020'!AL$4:AL$23)</f>
        <v>12.015714285714287</v>
      </c>
      <c r="AL93">
        <f>_xlfn.XLOOKUP($A93,'2019-2020'!$B$4:$B$23,'2019-2020'!AM$4:AM$23)</f>
        <v>28848</v>
      </c>
      <c r="AM93">
        <f>_xlfn.XLOOKUP($A93,'2019-2020'!$B$4:$B$23,'2019-2020'!AN$4:AN$23)</f>
        <v>0.17</v>
      </c>
      <c r="AN93">
        <f>_xlfn.XLOOKUP($A93,'2019-2020'!$B$4:$B$23,'2019-2020'!AO$4:AO$23)</f>
        <v>0</v>
      </c>
      <c r="AO93">
        <f>_xlfn.XLOOKUP($A93,'2019-2020'!$B$4:$B$23,'2019-2020'!AP$4:AP$23)</f>
        <v>0</v>
      </c>
      <c r="AP93">
        <f>_xlfn.XLOOKUP($A93,'2019-2020'!$B$4:$B$23,'2019-2020'!AQ$4:AQ$23)</f>
        <v>0</v>
      </c>
      <c r="AQ93">
        <f>_xlfn.XLOOKUP($A93,'2019-2020'!$B$4:$B$23,'2019-2020'!AR$4:AR$23)</f>
        <v>0</v>
      </c>
      <c r="AR93">
        <f>_xlfn.XLOOKUP($A93,'2019-2020'!$B$4:$B$23,'2019-2020'!AS$4:AS$23)</f>
        <v>0</v>
      </c>
      <c r="AS93" t="str">
        <f>_xlfn.XLOOKUP($A93,'2019-2020'!$B$4:$B$23,'2019-2020'!AT$4:AT$23)</f>
        <v>19/20</v>
      </c>
    </row>
    <row r="94" spans="1:45" x14ac:dyDescent="0.25">
      <c r="A94">
        <v>13</v>
      </c>
      <c r="B94" t="str">
        <f>_xlfn.XLOOKUP($A94,'2019-2020'!$B$4:$B$23,'2019-2020'!C$4:C$23)</f>
        <v>Newcastle United</v>
      </c>
      <c r="C94">
        <f>_xlfn.XLOOKUP($A94,'2019-2020'!$B$4:$B$23,'2019-2020'!D$4:D$23)</f>
        <v>38</v>
      </c>
      <c r="D94">
        <f>_xlfn.XLOOKUP($A94,'2019-2020'!$B$4:$B$23,'2019-2020'!E$4:E$23)</f>
        <v>58</v>
      </c>
      <c r="E94">
        <f>_xlfn.XLOOKUP($A94,'2019-2020'!$B$4:$B$23,'2019-2020'!F$4:F$23)</f>
        <v>-20</v>
      </c>
      <c r="F94">
        <f>_xlfn.XLOOKUP($A94,'2019-2020'!$B$4:$B$23,'2019-2020'!G$4:G$23)</f>
        <v>11</v>
      </c>
      <c r="G94">
        <f>_xlfn.XLOOKUP($A94,'2019-2020'!$B$4:$B$23,'2019-2020'!H$4:H$23)</f>
        <v>66</v>
      </c>
      <c r="H94">
        <f>_xlfn.XLOOKUP($A94,'2019-2020'!$B$4:$B$23,'2019-2020'!I$4:I$23)</f>
        <v>3</v>
      </c>
      <c r="I94">
        <f>_xlfn.XLOOKUP($A94,'2019-2020'!$B$4:$B$23,'2019-2020'!J$4:J$23)</f>
        <v>35.5</v>
      </c>
      <c r="J94">
        <f>_xlfn.XLOOKUP($A94,'2019-2020'!$B$4:$B$23,'2019-2020'!K$4:K$23)</f>
        <v>65.599999999999994</v>
      </c>
      <c r="K94">
        <f>_xlfn.XLOOKUP($A94,'2019-2020'!$B$4:$B$23,'2019-2020'!L$4:L$23)</f>
        <v>2.5</v>
      </c>
      <c r="L94">
        <f>_xlfn.XLOOKUP($A94,'2019-2020'!$B$4:$B$23,'2019-2020'!M$4:M$23)</f>
        <v>398</v>
      </c>
      <c r="M94">
        <f>_xlfn.XLOOKUP($A94,'2019-2020'!$B$4:$B$23,'2019-2020'!N$4:N$23)</f>
        <v>132</v>
      </c>
      <c r="N94">
        <f>_xlfn.XLOOKUP($A94,'2019-2020'!$B$4:$B$23,'2019-2020'!O$4:O$23)</f>
        <v>0</v>
      </c>
      <c r="O94">
        <f>_xlfn.XLOOKUP($A94,'2019-2020'!$B$4:$B$23,'2019-2020'!P$4:P$23)</f>
        <v>7</v>
      </c>
      <c r="P94">
        <f>_xlfn.XLOOKUP($A94,'2019-2020'!$B$4:$B$23,'2019-2020'!Q$4:Q$23)</f>
        <v>34</v>
      </c>
      <c r="Q94">
        <f>_xlfn.XLOOKUP($A94,'2019-2020'!$B$4:$B$23,'2019-2020'!R$4:R$23)</f>
        <v>4</v>
      </c>
      <c r="R94">
        <f>_xlfn.XLOOKUP($A94,'2019-2020'!$B$4:$B$23,'2019-2020'!S$4:S$23)</f>
        <v>2</v>
      </c>
      <c r="S94">
        <f>_xlfn.XLOOKUP($A94,'2019-2020'!$B$4:$B$23,'2019-2020'!T$4:T$23)</f>
        <v>75</v>
      </c>
      <c r="T94">
        <f>_xlfn.XLOOKUP($A94,'2019-2020'!$B$4:$B$23,'2019-2020'!U$4:U$23)</f>
        <v>2</v>
      </c>
      <c r="U94">
        <f>_xlfn.XLOOKUP($A94,'2019-2020'!$B$4:$B$23,'2019-2020'!V$4:V$23)</f>
        <v>2</v>
      </c>
      <c r="V94">
        <f>_xlfn.XLOOKUP($A94,'2019-2020'!$B$4:$B$23,'2019-2020'!W$4:W$23)</f>
        <v>139</v>
      </c>
      <c r="W94">
        <f>_xlfn.XLOOKUP($A94,'2019-2020'!$B$4:$B$23,'2019-2020'!X$4:X$23)</f>
        <v>988</v>
      </c>
      <c r="X94">
        <f>_xlfn.XLOOKUP($A94,'2019-2020'!$B$4:$B$23,'2019-2020'!Y$4:Y$23)</f>
        <v>603</v>
      </c>
      <c r="Y94">
        <f>_xlfn.XLOOKUP($A94,'2019-2020'!$B$4:$B$23,'2019-2020'!Z$4:Z$23)</f>
        <v>370</v>
      </c>
      <c r="Z94">
        <f>_xlfn.XLOOKUP($A94,'2019-2020'!$B$4:$B$23,'2019-2020'!AA$4:AA$23)</f>
        <v>10606</v>
      </c>
      <c r="AA94">
        <f>_xlfn.XLOOKUP($A94,'2019-2020'!$B$4:$B$23,'2019-2020'!AB$4:AB$23)</f>
        <v>18</v>
      </c>
      <c r="AB94">
        <f>_xlfn.XLOOKUP($A94,'2019-2020'!$B$4:$B$23,'2019-2020'!AC$4:AC$23)</f>
        <v>2015</v>
      </c>
      <c r="AC94">
        <f>_xlfn.XLOOKUP($A94,'2019-2020'!$B$4:$B$23,'2019-2020'!AD$4:AD$23)</f>
        <v>591</v>
      </c>
      <c r="AD94">
        <f>_xlfn.XLOOKUP($A94,'2019-2020'!$B$4:$B$23,'2019-2020'!AE$4:AE$23)</f>
        <v>151</v>
      </c>
      <c r="AE94">
        <f>_xlfn.XLOOKUP($A94,'2019-2020'!$B$4:$B$23,'2019-2020'!AF$4:AF$23)</f>
        <v>72.900000000000006</v>
      </c>
      <c r="AF94">
        <f>_xlfn.XLOOKUP($A94,'2019-2020'!$B$4:$B$23,'2019-2020'!AG$4:AG$23)</f>
        <v>35.64</v>
      </c>
      <c r="AG94">
        <f>_xlfn.XLOOKUP($A94,'2019-2020'!$B$4:$B$23,'2019-2020'!AH$4:AH$23)</f>
        <v>13</v>
      </c>
      <c r="AH94">
        <f>_xlfn.XLOOKUP($A94,'2019-2020'!$B$4:$B$23,'2019-2020'!AI$4:AI$23)</f>
        <v>11</v>
      </c>
      <c r="AI94">
        <f>_xlfn.XLOOKUP($A94,'2019-2020'!$B$4:$B$23,'2019-2020'!AJ$4:AJ$23)</f>
        <v>252.48</v>
      </c>
      <c r="AJ94">
        <f>_xlfn.XLOOKUP($A94,'2019-2020'!$B$4:$B$23,'2019-2020'!AK$4:AK$23)</f>
        <v>41</v>
      </c>
      <c r="AK94">
        <f>_xlfn.XLOOKUP($A94,'2019-2020'!$B$4:$B$23,'2019-2020'!AL$4:AL$23)</f>
        <v>6.158048780487805</v>
      </c>
      <c r="AL94">
        <f>_xlfn.XLOOKUP($A94,'2019-2020'!$B$4:$B$23,'2019-2020'!AM$4:AM$23)</f>
        <v>35551</v>
      </c>
      <c r="AM94">
        <f>_xlfn.XLOOKUP($A94,'2019-2020'!$B$4:$B$23,'2019-2020'!AN$4:AN$23)</f>
        <v>0.16</v>
      </c>
      <c r="AN94">
        <f>_xlfn.XLOOKUP($A94,'2019-2020'!$B$4:$B$23,'2019-2020'!AO$4:AO$23)</f>
        <v>0</v>
      </c>
      <c r="AO94">
        <f>_xlfn.XLOOKUP($A94,'2019-2020'!$B$4:$B$23,'2019-2020'!AP$4:AP$23)</f>
        <v>0</v>
      </c>
      <c r="AP94">
        <f>_xlfn.XLOOKUP($A94,'2019-2020'!$B$4:$B$23,'2019-2020'!AQ$4:AQ$23)</f>
        <v>0</v>
      </c>
      <c r="AQ94">
        <f>_xlfn.XLOOKUP($A94,'2019-2020'!$B$4:$B$23,'2019-2020'!AR$4:AR$23)</f>
        <v>0</v>
      </c>
      <c r="AR94">
        <f>_xlfn.XLOOKUP($A94,'2019-2020'!$B$4:$B$23,'2019-2020'!AS$4:AS$23)</f>
        <v>0</v>
      </c>
      <c r="AS94" t="str">
        <f>_xlfn.XLOOKUP($A94,'2019-2020'!$B$4:$B$23,'2019-2020'!AT$4:AT$23)</f>
        <v>19/20</v>
      </c>
    </row>
    <row r="95" spans="1:45" x14ac:dyDescent="0.25">
      <c r="A95">
        <v>14</v>
      </c>
      <c r="B95" t="str">
        <f>_xlfn.XLOOKUP($A95,'2019-2020'!$B$4:$B$23,'2019-2020'!C$4:C$23)</f>
        <v>Crystal Palace</v>
      </c>
      <c r="C95">
        <f>_xlfn.XLOOKUP($A95,'2019-2020'!$B$4:$B$23,'2019-2020'!D$4:D$23)</f>
        <v>31</v>
      </c>
      <c r="D95">
        <f>_xlfn.XLOOKUP($A95,'2019-2020'!$B$4:$B$23,'2019-2020'!E$4:E$23)</f>
        <v>50</v>
      </c>
      <c r="E95">
        <f>_xlfn.XLOOKUP($A95,'2019-2020'!$B$4:$B$23,'2019-2020'!F$4:F$23)</f>
        <v>-19</v>
      </c>
      <c r="F95">
        <f>_xlfn.XLOOKUP($A95,'2019-2020'!$B$4:$B$23,'2019-2020'!G$4:G$23)</f>
        <v>10</v>
      </c>
      <c r="G95">
        <f>_xlfn.XLOOKUP($A95,'2019-2020'!$B$4:$B$23,'2019-2020'!H$4:H$23)</f>
        <v>62</v>
      </c>
      <c r="H95">
        <f>_xlfn.XLOOKUP($A95,'2019-2020'!$B$4:$B$23,'2019-2020'!I$4:I$23)</f>
        <v>3</v>
      </c>
      <c r="I95">
        <f>_xlfn.XLOOKUP($A95,'2019-2020'!$B$4:$B$23,'2019-2020'!J$4:J$23)</f>
        <v>35.799999999999997</v>
      </c>
      <c r="J95">
        <f>_xlfn.XLOOKUP($A95,'2019-2020'!$B$4:$B$23,'2019-2020'!K$4:K$23)</f>
        <v>57</v>
      </c>
      <c r="K95">
        <f>_xlfn.XLOOKUP($A95,'2019-2020'!$B$4:$B$23,'2019-2020'!L$4:L$23)</f>
        <v>-4.7999999999999972</v>
      </c>
      <c r="L95">
        <f>_xlfn.XLOOKUP($A95,'2019-2020'!$B$4:$B$23,'2019-2020'!M$4:M$23)</f>
        <v>373</v>
      </c>
      <c r="M95">
        <f>_xlfn.XLOOKUP($A95,'2019-2020'!$B$4:$B$23,'2019-2020'!N$4:N$23)</f>
        <v>115</v>
      </c>
      <c r="N95">
        <f>_xlfn.XLOOKUP($A95,'2019-2020'!$B$4:$B$23,'2019-2020'!O$4:O$23)</f>
        <v>3</v>
      </c>
      <c r="O95">
        <f>_xlfn.XLOOKUP($A95,'2019-2020'!$B$4:$B$23,'2019-2020'!P$4:P$23)</f>
        <v>5</v>
      </c>
      <c r="P95">
        <f>_xlfn.XLOOKUP($A95,'2019-2020'!$B$4:$B$23,'2019-2020'!Q$4:Q$23)</f>
        <v>27</v>
      </c>
      <c r="Q95">
        <f>_xlfn.XLOOKUP($A95,'2019-2020'!$B$4:$B$23,'2019-2020'!R$4:R$23)</f>
        <v>5</v>
      </c>
      <c r="R95">
        <f>_xlfn.XLOOKUP($A95,'2019-2020'!$B$4:$B$23,'2019-2020'!S$4:S$23)</f>
        <v>1</v>
      </c>
      <c r="S95">
        <f>_xlfn.XLOOKUP($A95,'2019-2020'!$B$4:$B$23,'2019-2020'!T$4:T$23)</f>
        <v>53</v>
      </c>
      <c r="T95">
        <f>_xlfn.XLOOKUP($A95,'2019-2020'!$B$4:$B$23,'2019-2020'!U$4:U$23)</f>
        <v>2</v>
      </c>
      <c r="U95">
        <f>_xlfn.XLOOKUP($A95,'2019-2020'!$B$4:$B$23,'2019-2020'!V$4:V$23)</f>
        <v>1</v>
      </c>
      <c r="V95">
        <f>_xlfn.XLOOKUP($A95,'2019-2020'!$B$4:$B$23,'2019-2020'!W$4:W$23)</f>
        <v>124</v>
      </c>
      <c r="W95">
        <f>_xlfn.XLOOKUP($A95,'2019-2020'!$B$4:$B$23,'2019-2020'!X$4:X$23)</f>
        <v>856</v>
      </c>
      <c r="X95">
        <f>_xlfn.XLOOKUP($A95,'2019-2020'!$B$4:$B$23,'2019-2020'!Y$4:Y$23)</f>
        <v>686</v>
      </c>
      <c r="Y95">
        <f>_xlfn.XLOOKUP($A95,'2019-2020'!$B$4:$B$23,'2019-2020'!Z$4:Z$23)</f>
        <v>424</v>
      </c>
      <c r="Z95">
        <f>_xlfn.XLOOKUP($A95,'2019-2020'!$B$4:$B$23,'2019-2020'!AA$4:AA$23)</f>
        <v>12274</v>
      </c>
      <c r="AA95">
        <f>_xlfn.XLOOKUP($A95,'2019-2020'!$B$4:$B$23,'2019-2020'!AB$4:AB$23)</f>
        <v>19</v>
      </c>
      <c r="AB95">
        <f>_xlfn.XLOOKUP($A95,'2019-2020'!$B$4:$B$23,'2019-2020'!AC$4:AC$23)</f>
        <v>2344</v>
      </c>
      <c r="AC95">
        <f>_xlfn.XLOOKUP($A95,'2019-2020'!$B$4:$B$23,'2019-2020'!AD$4:AD$23)</f>
        <v>588</v>
      </c>
      <c r="AD95">
        <f>_xlfn.XLOOKUP($A95,'2019-2020'!$B$4:$B$23,'2019-2020'!AE$4:AE$23)</f>
        <v>177</v>
      </c>
      <c r="AE95">
        <f>_xlfn.XLOOKUP($A95,'2019-2020'!$B$4:$B$23,'2019-2020'!AF$4:AF$23)</f>
        <v>7.6</v>
      </c>
      <c r="AF95">
        <f>_xlfn.XLOOKUP($A95,'2019-2020'!$B$4:$B$23,'2019-2020'!AG$4:AG$23)</f>
        <v>55.38</v>
      </c>
      <c r="AG95">
        <f>_xlfn.XLOOKUP($A95,'2019-2020'!$B$4:$B$23,'2019-2020'!AH$4:AH$23)</f>
        <v>13</v>
      </c>
      <c r="AH95">
        <f>_xlfn.XLOOKUP($A95,'2019-2020'!$B$4:$B$23,'2019-2020'!AI$4:AI$23)</f>
        <v>15</v>
      </c>
      <c r="AI95">
        <f>_xlfn.XLOOKUP($A95,'2019-2020'!$B$4:$B$23,'2019-2020'!AJ$4:AJ$23)</f>
        <v>189.33</v>
      </c>
      <c r="AJ95">
        <f>_xlfn.XLOOKUP($A95,'2019-2020'!$B$4:$B$23,'2019-2020'!AK$4:AK$23)</f>
        <v>33</v>
      </c>
      <c r="AK95">
        <f>_xlfn.XLOOKUP($A95,'2019-2020'!$B$4:$B$23,'2019-2020'!AL$4:AL$23)</f>
        <v>5.7372727272727273</v>
      </c>
      <c r="AL95">
        <f>_xlfn.XLOOKUP($A95,'2019-2020'!$B$4:$B$23,'2019-2020'!AM$4:AM$23)</f>
        <v>19784</v>
      </c>
      <c r="AM95">
        <f>_xlfn.XLOOKUP($A95,'2019-2020'!$B$4:$B$23,'2019-2020'!AN$4:AN$23)</f>
        <v>0.08</v>
      </c>
      <c r="AN95">
        <f>_xlfn.XLOOKUP($A95,'2019-2020'!$B$4:$B$23,'2019-2020'!AO$4:AO$23)</f>
        <v>0</v>
      </c>
      <c r="AO95">
        <f>_xlfn.XLOOKUP($A95,'2019-2020'!$B$4:$B$23,'2019-2020'!AP$4:AP$23)</f>
        <v>0</v>
      </c>
      <c r="AP95">
        <f>_xlfn.XLOOKUP($A95,'2019-2020'!$B$4:$B$23,'2019-2020'!AQ$4:AQ$23)</f>
        <v>0</v>
      </c>
      <c r="AQ95">
        <f>_xlfn.XLOOKUP($A95,'2019-2020'!$B$4:$B$23,'2019-2020'!AR$4:AR$23)</f>
        <v>0</v>
      </c>
      <c r="AR95">
        <f>_xlfn.XLOOKUP($A95,'2019-2020'!$B$4:$B$23,'2019-2020'!AS$4:AS$23)</f>
        <v>0</v>
      </c>
      <c r="AS95" t="str">
        <f>_xlfn.XLOOKUP($A95,'2019-2020'!$B$4:$B$23,'2019-2020'!AT$4:AT$23)</f>
        <v>19/20</v>
      </c>
    </row>
    <row r="96" spans="1:45" x14ac:dyDescent="0.25">
      <c r="A96">
        <v>15</v>
      </c>
      <c r="B96" t="str">
        <f>_xlfn.XLOOKUP($A96,'2019-2020'!$B$4:$B$23,'2019-2020'!C$4:C$23)</f>
        <v>Brighton and Hove Albion</v>
      </c>
      <c r="C96">
        <f>_xlfn.XLOOKUP($A96,'2019-2020'!$B$4:$B$23,'2019-2020'!D$4:D$23)</f>
        <v>39</v>
      </c>
      <c r="D96">
        <f>_xlfn.XLOOKUP($A96,'2019-2020'!$B$4:$B$23,'2019-2020'!E$4:E$23)</f>
        <v>54</v>
      </c>
      <c r="E96">
        <f>_xlfn.XLOOKUP($A96,'2019-2020'!$B$4:$B$23,'2019-2020'!F$4:F$23)</f>
        <v>-15</v>
      </c>
      <c r="F96">
        <f>_xlfn.XLOOKUP($A96,'2019-2020'!$B$4:$B$23,'2019-2020'!G$4:G$23)</f>
        <v>9</v>
      </c>
      <c r="G96">
        <f>_xlfn.XLOOKUP($A96,'2019-2020'!$B$4:$B$23,'2019-2020'!H$4:H$23)</f>
        <v>57</v>
      </c>
      <c r="H96">
        <f>_xlfn.XLOOKUP($A96,'2019-2020'!$B$4:$B$23,'2019-2020'!I$4:I$23)</f>
        <v>2</v>
      </c>
      <c r="I96">
        <f>_xlfn.XLOOKUP($A96,'2019-2020'!$B$4:$B$23,'2019-2020'!J$4:J$23)</f>
        <v>45.4</v>
      </c>
      <c r="J96">
        <f>_xlfn.XLOOKUP($A96,'2019-2020'!$B$4:$B$23,'2019-2020'!K$4:K$23)</f>
        <v>55</v>
      </c>
      <c r="K96">
        <f>_xlfn.XLOOKUP($A96,'2019-2020'!$B$4:$B$23,'2019-2020'!L$4:L$23)</f>
        <v>-6.3999999999999986</v>
      </c>
      <c r="L96">
        <f>_xlfn.XLOOKUP($A96,'2019-2020'!$B$4:$B$23,'2019-2020'!M$4:M$23)</f>
        <v>460</v>
      </c>
      <c r="M96">
        <f>_xlfn.XLOOKUP($A96,'2019-2020'!$B$4:$B$23,'2019-2020'!N$4:N$23)</f>
        <v>139</v>
      </c>
      <c r="N96">
        <f>_xlfn.XLOOKUP($A96,'2019-2020'!$B$4:$B$23,'2019-2020'!O$4:O$23)</f>
        <v>1</v>
      </c>
      <c r="O96">
        <f>_xlfn.XLOOKUP($A96,'2019-2020'!$B$4:$B$23,'2019-2020'!P$4:P$23)</f>
        <v>8</v>
      </c>
      <c r="P96">
        <f>_xlfn.XLOOKUP($A96,'2019-2020'!$B$4:$B$23,'2019-2020'!Q$4:Q$23)</f>
        <v>35</v>
      </c>
      <c r="Q96">
        <f>_xlfn.XLOOKUP($A96,'2019-2020'!$B$4:$B$23,'2019-2020'!R$4:R$23)</f>
        <v>4</v>
      </c>
      <c r="R96">
        <f>_xlfn.XLOOKUP($A96,'2019-2020'!$B$4:$B$23,'2019-2020'!S$4:S$23)</f>
        <v>2</v>
      </c>
      <c r="S96">
        <f>_xlfn.XLOOKUP($A96,'2019-2020'!$B$4:$B$23,'2019-2020'!T$4:T$23)</f>
        <v>71</v>
      </c>
      <c r="T96">
        <f>_xlfn.XLOOKUP($A96,'2019-2020'!$B$4:$B$23,'2019-2020'!U$4:U$23)</f>
        <v>2</v>
      </c>
      <c r="U96">
        <f>_xlfn.XLOOKUP($A96,'2019-2020'!$B$4:$B$23,'2019-2020'!V$4:V$23)</f>
        <v>2</v>
      </c>
      <c r="V96">
        <f>_xlfn.XLOOKUP($A96,'2019-2020'!$B$4:$B$23,'2019-2020'!W$4:W$23)</f>
        <v>116</v>
      </c>
      <c r="W96">
        <f>_xlfn.XLOOKUP($A96,'2019-2020'!$B$4:$B$23,'2019-2020'!X$4:X$23)</f>
        <v>750</v>
      </c>
      <c r="X96">
        <f>_xlfn.XLOOKUP($A96,'2019-2020'!$B$4:$B$23,'2019-2020'!Y$4:Y$23)</f>
        <v>641</v>
      </c>
      <c r="Y96">
        <f>_xlfn.XLOOKUP($A96,'2019-2020'!$B$4:$B$23,'2019-2020'!Z$4:Z$23)</f>
        <v>386</v>
      </c>
      <c r="Z96">
        <f>_xlfn.XLOOKUP($A96,'2019-2020'!$B$4:$B$23,'2019-2020'!AA$4:AA$23)</f>
        <v>15881</v>
      </c>
      <c r="AA96">
        <f>_xlfn.XLOOKUP($A96,'2019-2020'!$B$4:$B$23,'2019-2020'!AB$4:AB$23)</f>
        <v>34</v>
      </c>
      <c r="AB96">
        <f>_xlfn.XLOOKUP($A96,'2019-2020'!$B$4:$B$23,'2019-2020'!AC$4:AC$23)</f>
        <v>2716</v>
      </c>
      <c r="AC96">
        <f>_xlfn.XLOOKUP($A96,'2019-2020'!$B$4:$B$23,'2019-2020'!AD$4:AD$23)</f>
        <v>689</v>
      </c>
      <c r="AD96">
        <f>_xlfn.XLOOKUP($A96,'2019-2020'!$B$4:$B$23,'2019-2020'!AE$4:AE$23)</f>
        <v>178</v>
      </c>
      <c r="AE96">
        <f>_xlfn.XLOOKUP($A96,'2019-2020'!$B$4:$B$23,'2019-2020'!AF$4:AF$23)</f>
        <v>66.5</v>
      </c>
      <c r="AF96">
        <f>_xlfn.XLOOKUP($A96,'2019-2020'!$B$4:$B$23,'2019-2020'!AG$4:AG$23)</f>
        <v>0.4</v>
      </c>
      <c r="AG96">
        <f>_xlfn.XLOOKUP($A96,'2019-2020'!$B$4:$B$23,'2019-2020'!AH$4:AH$23)</f>
        <v>25</v>
      </c>
      <c r="AH96">
        <f>_xlfn.XLOOKUP($A96,'2019-2020'!$B$4:$B$23,'2019-2020'!AI$4:AI$23)</f>
        <v>30</v>
      </c>
      <c r="AI96">
        <f>_xlfn.XLOOKUP($A96,'2019-2020'!$B$4:$B$23,'2019-2020'!AJ$4:AJ$23)</f>
        <v>200.78</v>
      </c>
      <c r="AJ96">
        <f>_xlfn.XLOOKUP($A96,'2019-2020'!$B$4:$B$23,'2019-2020'!AK$4:AK$23)</f>
        <v>45</v>
      </c>
      <c r="AK96">
        <f>_xlfn.XLOOKUP($A96,'2019-2020'!$B$4:$B$23,'2019-2020'!AL$4:AL$23)</f>
        <v>4.4617777777777778</v>
      </c>
      <c r="AL96">
        <f>_xlfn.XLOOKUP($A96,'2019-2020'!$B$4:$B$23,'2019-2020'!AM$4:AM$23)</f>
        <v>22369</v>
      </c>
      <c r="AM96">
        <f>_xlfn.XLOOKUP($A96,'2019-2020'!$B$4:$B$23,'2019-2020'!AN$4:AN$23)</f>
        <v>0</v>
      </c>
      <c r="AN96">
        <f>_xlfn.XLOOKUP($A96,'2019-2020'!$B$4:$B$23,'2019-2020'!AO$4:AO$23)</f>
        <v>0</v>
      </c>
      <c r="AO96">
        <f>_xlfn.XLOOKUP($A96,'2019-2020'!$B$4:$B$23,'2019-2020'!AP$4:AP$23)</f>
        <v>0</v>
      </c>
      <c r="AP96">
        <f>_xlfn.XLOOKUP($A96,'2019-2020'!$B$4:$B$23,'2019-2020'!AQ$4:AQ$23)</f>
        <v>0</v>
      </c>
      <c r="AQ96">
        <f>_xlfn.XLOOKUP($A96,'2019-2020'!$B$4:$B$23,'2019-2020'!AR$4:AR$23)</f>
        <v>0</v>
      </c>
      <c r="AR96">
        <f>_xlfn.XLOOKUP($A96,'2019-2020'!$B$4:$B$23,'2019-2020'!AS$4:AS$23)</f>
        <v>0</v>
      </c>
      <c r="AS96" t="str">
        <f>_xlfn.XLOOKUP($A96,'2019-2020'!$B$4:$B$23,'2019-2020'!AT$4:AT$23)</f>
        <v>19/20</v>
      </c>
    </row>
    <row r="97" spans="1:45" x14ac:dyDescent="0.25">
      <c r="A97">
        <v>16</v>
      </c>
      <c r="B97" t="str">
        <f>_xlfn.XLOOKUP($A97,'2019-2020'!$B$4:$B$23,'2019-2020'!C$4:C$23)</f>
        <v>West Ham United</v>
      </c>
      <c r="C97">
        <f>_xlfn.XLOOKUP($A97,'2019-2020'!$B$4:$B$23,'2019-2020'!D$4:D$23)</f>
        <v>49</v>
      </c>
      <c r="D97">
        <f>_xlfn.XLOOKUP($A97,'2019-2020'!$B$4:$B$23,'2019-2020'!E$4:E$23)</f>
        <v>62</v>
      </c>
      <c r="E97">
        <f>_xlfn.XLOOKUP($A97,'2019-2020'!$B$4:$B$23,'2019-2020'!F$4:F$23)</f>
        <v>-13</v>
      </c>
      <c r="F97">
        <f>_xlfn.XLOOKUP($A97,'2019-2020'!$B$4:$B$23,'2019-2020'!G$4:G$23)</f>
        <v>7</v>
      </c>
      <c r="G97">
        <f>_xlfn.XLOOKUP($A97,'2019-2020'!$B$4:$B$23,'2019-2020'!H$4:H$23)</f>
        <v>62</v>
      </c>
      <c r="H97">
        <f>_xlfn.XLOOKUP($A97,'2019-2020'!$B$4:$B$23,'2019-2020'!I$4:I$23)</f>
        <v>2</v>
      </c>
      <c r="I97">
        <f>_xlfn.XLOOKUP($A97,'2019-2020'!$B$4:$B$23,'2019-2020'!J$4:J$23)</f>
        <v>48.6</v>
      </c>
      <c r="J97">
        <f>_xlfn.XLOOKUP($A97,'2019-2020'!$B$4:$B$23,'2019-2020'!K$4:K$23)</f>
        <v>63.8</v>
      </c>
      <c r="K97">
        <f>_xlfn.XLOOKUP($A97,'2019-2020'!$B$4:$B$23,'2019-2020'!L$4:L$23)</f>
        <v>0.39999999999999858</v>
      </c>
      <c r="L97">
        <f>_xlfn.XLOOKUP($A97,'2019-2020'!$B$4:$B$23,'2019-2020'!M$4:M$23)</f>
        <v>413</v>
      </c>
      <c r="M97">
        <f>_xlfn.XLOOKUP($A97,'2019-2020'!$B$4:$B$23,'2019-2020'!N$4:N$23)</f>
        <v>156</v>
      </c>
      <c r="N97">
        <f>_xlfn.XLOOKUP($A97,'2019-2020'!$B$4:$B$23,'2019-2020'!O$4:O$23)</f>
        <v>4</v>
      </c>
      <c r="O97">
        <f>_xlfn.XLOOKUP($A97,'2019-2020'!$B$4:$B$23,'2019-2020'!P$4:P$23)</f>
        <v>7</v>
      </c>
      <c r="P97">
        <f>_xlfn.XLOOKUP($A97,'2019-2020'!$B$4:$B$23,'2019-2020'!Q$4:Q$23)</f>
        <v>44</v>
      </c>
      <c r="Q97">
        <f>_xlfn.XLOOKUP($A97,'2019-2020'!$B$4:$B$23,'2019-2020'!R$4:R$23)</f>
        <v>5</v>
      </c>
      <c r="R97">
        <f>_xlfn.XLOOKUP($A97,'2019-2020'!$B$4:$B$23,'2019-2020'!S$4:S$23)</f>
        <v>3</v>
      </c>
      <c r="S97">
        <f>_xlfn.XLOOKUP($A97,'2019-2020'!$B$4:$B$23,'2019-2020'!T$4:T$23)</f>
        <v>66</v>
      </c>
      <c r="T97">
        <f>_xlfn.XLOOKUP($A97,'2019-2020'!$B$4:$B$23,'2019-2020'!U$4:U$23)</f>
        <v>3</v>
      </c>
      <c r="U97">
        <f>_xlfn.XLOOKUP($A97,'2019-2020'!$B$4:$B$23,'2019-2020'!V$4:V$23)</f>
        <v>6</v>
      </c>
      <c r="V97">
        <f>_xlfn.XLOOKUP($A97,'2019-2020'!$B$4:$B$23,'2019-2020'!W$4:W$23)</f>
        <v>127</v>
      </c>
      <c r="W97">
        <f>_xlfn.XLOOKUP($A97,'2019-2020'!$B$4:$B$23,'2019-2020'!X$4:X$23)</f>
        <v>789</v>
      </c>
      <c r="X97">
        <f>_xlfn.XLOOKUP($A97,'2019-2020'!$B$4:$B$23,'2019-2020'!Y$4:Y$23)</f>
        <v>696</v>
      </c>
      <c r="Y97">
        <f>_xlfn.XLOOKUP($A97,'2019-2020'!$B$4:$B$23,'2019-2020'!Z$4:Z$23)</f>
        <v>387</v>
      </c>
      <c r="Z97">
        <f>_xlfn.XLOOKUP($A97,'2019-2020'!$B$4:$B$23,'2019-2020'!AA$4:AA$23)</f>
        <v>12451</v>
      </c>
      <c r="AA97">
        <f>_xlfn.XLOOKUP($A97,'2019-2020'!$B$4:$B$23,'2019-2020'!AB$4:AB$23)</f>
        <v>38</v>
      </c>
      <c r="AB97">
        <f>_xlfn.XLOOKUP($A97,'2019-2020'!$B$4:$B$23,'2019-2020'!AC$4:AC$23)</f>
        <v>2300</v>
      </c>
      <c r="AC97">
        <f>_xlfn.XLOOKUP($A97,'2019-2020'!$B$4:$B$23,'2019-2020'!AD$4:AD$23)</f>
        <v>737</v>
      </c>
      <c r="AD97">
        <f>_xlfn.XLOOKUP($A97,'2019-2020'!$B$4:$B$23,'2019-2020'!AE$4:AE$23)</f>
        <v>190</v>
      </c>
      <c r="AE97">
        <f>_xlfn.XLOOKUP($A97,'2019-2020'!$B$4:$B$23,'2019-2020'!AF$4:AF$23)</f>
        <v>119.8</v>
      </c>
      <c r="AF97">
        <f>_xlfn.XLOOKUP($A97,'2019-2020'!$B$4:$B$23,'2019-2020'!AG$4:AG$23)</f>
        <v>55.48</v>
      </c>
      <c r="AG97">
        <f>_xlfn.XLOOKUP($A97,'2019-2020'!$B$4:$B$23,'2019-2020'!AH$4:AH$23)</f>
        <v>10</v>
      </c>
      <c r="AH97">
        <f>_xlfn.XLOOKUP($A97,'2019-2020'!$B$4:$B$23,'2019-2020'!AI$4:AI$23)</f>
        <v>17</v>
      </c>
      <c r="AI97">
        <f>_xlfn.XLOOKUP($A97,'2019-2020'!$B$4:$B$23,'2019-2020'!AJ$4:AJ$23)</f>
        <v>303.60000000000002</v>
      </c>
      <c r="AJ97">
        <f>_xlfn.XLOOKUP($A97,'2019-2020'!$B$4:$B$23,'2019-2020'!AK$4:AK$23)</f>
        <v>38</v>
      </c>
      <c r="AK97">
        <f>_xlfn.XLOOKUP($A97,'2019-2020'!$B$4:$B$23,'2019-2020'!AL$4:AL$23)</f>
        <v>7.9894736842105267</v>
      </c>
      <c r="AL97">
        <f>_xlfn.XLOOKUP($A97,'2019-2020'!$B$4:$B$23,'2019-2020'!AM$4:AM$23)</f>
        <v>44155</v>
      </c>
      <c r="AM97">
        <f>_xlfn.XLOOKUP($A97,'2019-2020'!$B$4:$B$23,'2019-2020'!AN$4:AN$23)</f>
        <v>0.08</v>
      </c>
      <c r="AN97">
        <f>_xlfn.XLOOKUP($A97,'2019-2020'!$B$4:$B$23,'2019-2020'!AO$4:AO$23)</f>
        <v>0</v>
      </c>
      <c r="AO97">
        <f>_xlfn.XLOOKUP($A97,'2019-2020'!$B$4:$B$23,'2019-2020'!AP$4:AP$23)</f>
        <v>0</v>
      </c>
      <c r="AP97">
        <f>_xlfn.XLOOKUP($A97,'2019-2020'!$B$4:$B$23,'2019-2020'!AQ$4:AQ$23)</f>
        <v>0</v>
      </c>
      <c r="AQ97">
        <f>_xlfn.XLOOKUP($A97,'2019-2020'!$B$4:$B$23,'2019-2020'!AR$4:AR$23)</f>
        <v>0</v>
      </c>
      <c r="AR97">
        <f>_xlfn.XLOOKUP($A97,'2019-2020'!$B$4:$B$23,'2019-2020'!AS$4:AS$23)</f>
        <v>0</v>
      </c>
      <c r="AS97" t="str">
        <f>_xlfn.XLOOKUP($A97,'2019-2020'!$B$4:$B$23,'2019-2020'!AT$4:AT$23)</f>
        <v>19/20</v>
      </c>
    </row>
    <row r="98" spans="1:45" x14ac:dyDescent="0.25">
      <c r="A98">
        <v>17</v>
      </c>
      <c r="B98" t="str">
        <f>_xlfn.XLOOKUP($A98,'2019-2020'!$B$4:$B$23,'2019-2020'!C$4:C$23)</f>
        <v>Aston Villa</v>
      </c>
      <c r="C98">
        <f>_xlfn.XLOOKUP($A98,'2019-2020'!$B$4:$B$23,'2019-2020'!D$4:D$23)</f>
        <v>41</v>
      </c>
      <c r="D98">
        <f>_xlfn.XLOOKUP($A98,'2019-2020'!$B$4:$B$23,'2019-2020'!E$4:E$23)</f>
        <v>67</v>
      </c>
      <c r="E98">
        <f>_xlfn.XLOOKUP($A98,'2019-2020'!$B$4:$B$23,'2019-2020'!F$4:F$23)</f>
        <v>-26</v>
      </c>
      <c r="F98">
        <f>_xlfn.XLOOKUP($A98,'2019-2020'!$B$4:$B$23,'2019-2020'!G$4:G$23)</f>
        <v>7</v>
      </c>
      <c r="G98">
        <f>_xlfn.XLOOKUP($A98,'2019-2020'!$B$4:$B$23,'2019-2020'!H$4:H$23)</f>
        <v>68</v>
      </c>
      <c r="H98">
        <f>_xlfn.XLOOKUP($A98,'2019-2020'!$B$4:$B$23,'2019-2020'!I$4:I$23)</f>
        <v>1</v>
      </c>
      <c r="I98">
        <f>_xlfn.XLOOKUP($A98,'2019-2020'!$B$4:$B$23,'2019-2020'!J$4:J$23)</f>
        <v>44.3</v>
      </c>
      <c r="J98">
        <f>_xlfn.XLOOKUP($A98,'2019-2020'!$B$4:$B$23,'2019-2020'!K$4:K$23)</f>
        <v>67.8</v>
      </c>
      <c r="K98">
        <f>_xlfn.XLOOKUP($A98,'2019-2020'!$B$4:$B$23,'2019-2020'!L$4:L$23)</f>
        <v>-3.2999999999999972</v>
      </c>
      <c r="L98">
        <f>_xlfn.XLOOKUP($A98,'2019-2020'!$B$4:$B$23,'2019-2020'!M$4:M$23)</f>
        <v>453</v>
      </c>
      <c r="M98">
        <f>_xlfn.XLOOKUP($A98,'2019-2020'!$B$4:$B$23,'2019-2020'!N$4:N$23)</f>
        <v>147</v>
      </c>
      <c r="N98">
        <f>_xlfn.XLOOKUP($A98,'2019-2020'!$B$4:$B$23,'2019-2020'!O$4:O$23)</f>
        <v>1</v>
      </c>
      <c r="O98">
        <f>_xlfn.XLOOKUP($A98,'2019-2020'!$B$4:$B$23,'2019-2020'!P$4:P$23)</f>
        <v>3</v>
      </c>
      <c r="P98">
        <f>_xlfn.XLOOKUP($A98,'2019-2020'!$B$4:$B$23,'2019-2020'!Q$4:Q$23)</f>
        <v>37</v>
      </c>
      <c r="Q98">
        <f>_xlfn.XLOOKUP($A98,'2019-2020'!$B$4:$B$23,'2019-2020'!R$4:R$23)</f>
        <v>4</v>
      </c>
      <c r="R98">
        <f>_xlfn.XLOOKUP($A98,'2019-2020'!$B$4:$B$23,'2019-2020'!S$4:S$23)</f>
        <v>1</v>
      </c>
      <c r="S98">
        <f>_xlfn.XLOOKUP($A98,'2019-2020'!$B$4:$B$23,'2019-2020'!T$4:T$23)</f>
        <v>62</v>
      </c>
      <c r="T98">
        <f>_xlfn.XLOOKUP($A98,'2019-2020'!$B$4:$B$23,'2019-2020'!U$4:U$23)</f>
        <v>1</v>
      </c>
      <c r="U98">
        <f>_xlfn.XLOOKUP($A98,'2019-2020'!$B$4:$B$23,'2019-2020'!V$4:V$23)</f>
        <v>6</v>
      </c>
      <c r="V98">
        <f>_xlfn.XLOOKUP($A98,'2019-2020'!$B$4:$B$23,'2019-2020'!W$4:W$23)</f>
        <v>115</v>
      </c>
      <c r="W98">
        <f>_xlfn.XLOOKUP($A98,'2019-2020'!$B$4:$B$23,'2019-2020'!X$4:X$23)</f>
        <v>928</v>
      </c>
      <c r="X98">
        <f>_xlfn.XLOOKUP($A98,'2019-2020'!$B$4:$B$23,'2019-2020'!Y$4:Y$23)</f>
        <v>523</v>
      </c>
      <c r="Y98">
        <f>_xlfn.XLOOKUP($A98,'2019-2020'!$B$4:$B$23,'2019-2020'!Z$4:Z$23)</f>
        <v>451</v>
      </c>
      <c r="Z98">
        <f>_xlfn.XLOOKUP($A98,'2019-2020'!$B$4:$B$23,'2019-2020'!AA$4:AA$23)</f>
        <v>11652</v>
      </c>
      <c r="AA98">
        <f>_xlfn.XLOOKUP($A98,'2019-2020'!$B$4:$B$23,'2019-2020'!AB$4:AB$23)</f>
        <v>17</v>
      </c>
      <c r="AB98">
        <f>_xlfn.XLOOKUP($A98,'2019-2020'!$B$4:$B$23,'2019-2020'!AC$4:AC$23)</f>
        <v>2025</v>
      </c>
      <c r="AC98">
        <f>_xlfn.XLOOKUP($A98,'2019-2020'!$B$4:$B$23,'2019-2020'!AD$4:AD$23)</f>
        <v>798</v>
      </c>
      <c r="AD98">
        <f>_xlfn.XLOOKUP($A98,'2019-2020'!$B$4:$B$23,'2019-2020'!AE$4:AE$23)</f>
        <v>200</v>
      </c>
      <c r="AE98">
        <f>_xlfn.XLOOKUP($A98,'2019-2020'!$B$4:$B$23,'2019-2020'!AF$4:AF$23)</f>
        <v>159.5</v>
      </c>
      <c r="AF98">
        <f>_xlfn.XLOOKUP($A98,'2019-2020'!$B$4:$B$23,'2019-2020'!AG$4:AG$23)</f>
        <v>3</v>
      </c>
      <c r="AG98">
        <f>_xlfn.XLOOKUP($A98,'2019-2020'!$B$4:$B$23,'2019-2020'!AH$4:AH$23)</f>
        <v>22</v>
      </c>
      <c r="AH98">
        <f>_xlfn.XLOOKUP($A98,'2019-2020'!$B$4:$B$23,'2019-2020'!AI$4:AI$23)</f>
        <v>22</v>
      </c>
      <c r="AI98">
        <f>_xlfn.XLOOKUP($A98,'2019-2020'!$B$4:$B$23,'2019-2020'!AJ$4:AJ$23)</f>
        <v>231.7</v>
      </c>
      <c r="AJ98">
        <f>_xlfn.XLOOKUP($A98,'2019-2020'!$B$4:$B$23,'2019-2020'!AK$4:AK$23)</f>
        <v>38</v>
      </c>
      <c r="AK98">
        <f>_xlfn.XLOOKUP($A98,'2019-2020'!$B$4:$B$23,'2019-2020'!AL$4:AL$23)</f>
        <v>6.0973684210526313</v>
      </c>
      <c r="AL98">
        <f>_xlfn.XLOOKUP($A98,'2019-2020'!$B$4:$B$23,'2019-2020'!AM$4:AM$23)</f>
        <v>28505</v>
      </c>
      <c r="AM98">
        <f>_xlfn.XLOOKUP($A98,'2019-2020'!$B$4:$B$23,'2019-2020'!AN$4:AN$23)</f>
        <v>0.09</v>
      </c>
      <c r="AN98">
        <f>_xlfn.XLOOKUP($A98,'2019-2020'!$B$4:$B$23,'2019-2020'!AO$4:AO$23)</f>
        <v>0</v>
      </c>
      <c r="AO98">
        <f>_xlfn.XLOOKUP($A98,'2019-2020'!$B$4:$B$23,'2019-2020'!AP$4:AP$23)</f>
        <v>1</v>
      </c>
      <c r="AP98">
        <f>_xlfn.XLOOKUP($A98,'2019-2020'!$B$4:$B$23,'2019-2020'!AQ$4:AQ$23)</f>
        <v>0</v>
      </c>
      <c r="AQ98">
        <f>_xlfn.XLOOKUP($A98,'2019-2020'!$B$4:$B$23,'2019-2020'!AR$4:AR$23)</f>
        <v>0</v>
      </c>
      <c r="AR98">
        <f>_xlfn.XLOOKUP($A98,'2019-2020'!$B$4:$B$23,'2019-2020'!AS$4:AS$23)</f>
        <v>0</v>
      </c>
      <c r="AS98" t="str">
        <f>_xlfn.XLOOKUP($A98,'2019-2020'!$B$4:$B$23,'2019-2020'!AT$4:AT$23)</f>
        <v>19/20</v>
      </c>
    </row>
    <row r="99" spans="1:45" x14ac:dyDescent="0.25">
      <c r="A99">
        <v>18</v>
      </c>
      <c r="B99" t="str">
        <f>_xlfn.XLOOKUP($A99,'2019-2020'!$B$4:$B$23,'2019-2020'!C$4:C$23)</f>
        <v>AFC Bournemouth</v>
      </c>
      <c r="C99">
        <f>_xlfn.XLOOKUP($A99,'2019-2020'!$B$4:$B$23,'2019-2020'!D$4:D$23)</f>
        <v>40</v>
      </c>
      <c r="D99">
        <f>_xlfn.XLOOKUP($A99,'2019-2020'!$B$4:$B$23,'2019-2020'!E$4:E$23)</f>
        <v>65</v>
      </c>
      <c r="E99">
        <f>_xlfn.XLOOKUP($A99,'2019-2020'!$B$4:$B$23,'2019-2020'!F$4:F$23)</f>
        <v>-25</v>
      </c>
      <c r="F99">
        <f>_xlfn.XLOOKUP($A99,'2019-2020'!$B$4:$B$23,'2019-2020'!G$4:G$23)</f>
        <v>5</v>
      </c>
      <c r="G99">
        <f>_xlfn.XLOOKUP($A99,'2019-2020'!$B$4:$B$23,'2019-2020'!H$4:H$23)</f>
        <v>74</v>
      </c>
      <c r="H99">
        <f>_xlfn.XLOOKUP($A99,'2019-2020'!$B$4:$B$23,'2019-2020'!I$4:I$23)</f>
        <v>3</v>
      </c>
      <c r="I99">
        <f>_xlfn.XLOOKUP($A99,'2019-2020'!$B$4:$B$23,'2019-2020'!J$4:J$23)</f>
        <v>44.8</v>
      </c>
      <c r="J99">
        <f>_xlfn.XLOOKUP($A99,'2019-2020'!$B$4:$B$23,'2019-2020'!K$4:K$23)</f>
        <v>62.3</v>
      </c>
      <c r="K99">
        <f>_xlfn.XLOOKUP($A99,'2019-2020'!$B$4:$B$23,'2019-2020'!L$4:L$23)</f>
        <v>-4.7999999999999972</v>
      </c>
      <c r="L99">
        <f>_xlfn.XLOOKUP($A99,'2019-2020'!$B$4:$B$23,'2019-2020'!M$4:M$23)</f>
        <v>385</v>
      </c>
      <c r="M99">
        <f>_xlfn.XLOOKUP($A99,'2019-2020'!$B$4:$B$23,'2019-2020'!N$4:N$23)</f>
        <v>117</v>
      </c>
      <c r="N99">
        <f>_xlfn.XLOOKUP($A99,'2019-2020'!$B$4:$B$23,'2019-2020'!O$4:O$23)</f>
        <v>4</v>
      </c>
      <c r="O99">
        <f>_xlfn.XLOOKUP($A99,'2019-2020'!$B$4:$B$23,'2019-2020'!P$4:P$23)</f>
        <v>5</v>
      </c>
      <c r="P99">
        <f>_xlfn.XLOOKUP($A99,'2019-2020'!$B$4:$B$23,'2019-2020'!Q$4:Q$23)</f>
        <v>36</v>
      </c>
      <c r="Q99">
        <f>_xlfn.XLOOKUP($A99,'2019-2020'!$B$4:$B$23,'2019-2020'!R$4:R$23)</f>
        <v>4</v>
      </c>
      <c r="R99">
        <f>_xlfn.XLOOKUP($A99,'2019-2020'!$B$4:$B$23,'2019-2020'!S$4:S$23)</f>
        <v>2</v>
      </c>
      <c r="S99">
        <f>_xlfn.XLOOKUP($A99,'2019-2020'!$B$4:$B$23,'2019-2020'!T$4:T$23)</f>
        <v>67</v>
      </c>
      <c r="T99">
        <f>_xlfn.XLOOKUP($A99,'2019-2020'!$B$4:$B$23,'2019-2020'!U$4:U$23)</f>
        <v>0</v>
      </c>
      <c r="U99">
        <f>_xlfn.XLOOKUP($A99,'2019-2020'!$B$4:$B$23,'2019-2020'!V$4:V$23)</f>
        <v>6</v>
      </c>
      <c r="V99">
        <f>_xlfn.XLOOKUP($A99,'2019-2020'!$B$4:$B$23,'2019-2020'!W$4:W$23)</f>
        <v>126</v>
      </c>
      <c r="W99">
        <f>_xlfn.XLOOKUP($A99,'2019-2020'!$B$4:$B$23,'2019-2020'!X$4:X$23)</f>
        <v>1008</v>
      </c>
      <c r="X99">
        <f>_xlfn.XLOOKUP($A99,'2019-2020'!$B$4:$B$23,'2019-2020'!Y$4:Y$23)</f>
        <v>507</v>
      </c>
      <c r="Y99">
        <f>_xlfn.XLOOKUP($A99,'2019-2020'!$B$4:$B$23,'2019-2020'!Z$4:Z$23)</f>
        <v>369</v>
      </c>
      <c r="Z99">
        <f>_xlfn.XLOOKUP($A99,'2019-2020'!$B$4:$B$23,'2019-2020'!AA$4:AA$23)</f>
        <v>12042</v>
      </c>
      <c r="AA99">
        <f>_xlfn.XLOOKUP($A99,'2019-2020'!$B$4:$B$23,'2019-2020'!AB$4:AB$23)</f>
        <v>28</v>
      </c>
      <c r="AB99">
        <f>_xlfn.XLOOKUP($A99,'2019-2020'!$B$4:$B$23,'2019-2020'!AC$4:AC$23)</f>
        <v>2097</v>
      </c>
      <c r="AC99">
        <f>_xlfn.XLOOKUP($A99,'2019-2020'!$B$4:$B$23,'2019-2020'!AD$4:AD$23)</f>
        <v>646</v>
      </c>
      <c r="AD99">
        <f>_xlfn.XLOOKUP($A99,'2019-2020'!$B$4:$B$23,'2019-2020'!AE$4:AE$23)</f>
        <v>194</v>
      </c>
      <c r="AE99">
        <f>_xlfn.XLOOKUP($A99,'2019-2020'!$B$4:$B$23,'2019-2020'!AF$4:AF$23)</f>
        <v>54.91</v>
      </c>
      <c r="AF99">
        <f>_xlfn.XLOOKUP($A99,'2019-2020'!$B$4:$B$23,'2019-2020'!AG$4:AG$23)</f>
        <v>34.630000000000003</v>
      </c>
      <c r="AG99">
        <f>_xlfn.XLOOKUP($A99,'2019-2020'!$B$4:$B$23,'2019-2020'!AH$4:AH$23)</f>
        <v>13</v>
      </c>
      <c r="AH99">
        <f>_xlfn.XLOOKUP($A99,'2019-2020'!$B$4:$B$23,'2019-2020'!AI$4:AI$23)</f>
        <v>12</v>
      </c>
      <c r="AI99">
        <f>_xlfn.XLOOKUP($A99,'2019-2020'!$B$4:$B$23,'2019-2020'!AJ$4:AJ$23)</f>
        <v>272.18</v>
      </c>
      <c r="AJ99">
        <f>_xlfn.XLOOKUP($A99,'2019-2020'!$B$4:$B$23,'2019-2020'!AK$4:AK$23)</f>
        <v>39</v>
      </c>
      <c r="AK99">
        <f>_xlfn.XLOOKUP($A99,'2019-2020'!$B$4:$B$23,'2019-2020'!AL$4:AL$23)</f>
        <v>6.9789743589743596</v>
      </c>
      <c r="AL99">
        <f>_xlfn.XLOOKUP($A99,'2019-2020'!$B$4:$B$23,'2019-2020'!AM$4:AM$23)</f>
        <v>7745</v>
      </c>
      <c r="AM99">
        <f>_xlfn.XLOOKUP($A99,'2019-2020'!$B$4:$B$23,'2019-2020'!AN$4:AN$23)</f>
        <v>0.09</v>
      </c>
      <c r="AN99">
        <f>_xlfn.XLOOKUP($A99,'2019-2020'!$B$4:$B$23,'2019-2020'!AO$4:AO$23)</f>
        <v>0</v>
      </c>
      <c r="AO99">
        <f>_xlfn.XLOOKUP($A99,'2019-2020'!$B$4:$B$23,'2019-2020'!AP$4:AP$23)</f>
        <v>0</v>
      </c>
      <c r="AP99">
        <f>_xlfn.XLOOKUP($A99,'2019-2020'!$B$4:$B$23,'2019-2020'!AQ$4:AQ$23)</f>
        <v>0</v>
      </c>
      <c r="AQ99">
        <f>_xlfn.XLOOKUP($A99,'2019-2020'!$B$4:$B$23,'2019-2020'!AR$4:AR$23)</f>
        <v>1</v>
      </c>
      <c r="AR99">
        <f>_xlfn.XLOOKUP($A99,'2019-2020'!$B$4:$B$23,'2019-2020'!AS$4:AS$23)</f>
        <v>0</v>
      </c>
      <c r="AS99" t="str">
        <f>_xlfn.XLOOKUP($A99,'2019-2020'!$B$4:$B$23,'2019-2020'!AT$4:AT$23)</f>
        <v>19/20</v>
      </c>
    </row>
    <row r="100" spans="1:45" x14ac:dyDescent="0.25">
      <c r="A100">
        <v>19</v>
      </c>
      <c r="B100" t="str">
        <f>_xlfn.XLOOKUP($A100,'2019-2020'!$B$4:$B$23,'2019-2020'!C$4:C$23)</f>
        <v>Watford</v>
      </c>
      <c r="C100">
        <f>_xlfn.XLOOKUP($A100,'2019-2020'!$B$4:$B$23,'2019-2020'!D$4:D$23)</f>
        <v>36</v>
      </c>
      <c r="D100">
        <f>_xlfn.XLOOKUP($A100,'2019-2020'!$B$4:$B$23,'2019-2020'!E$4:E$23)</f>
        <v>64</v>
      </c>
      <c r="E100">
        <f>_xlfn.XLOOKUP($A100,'2019-2020'!$B$4:$B$23,'2019-2020'!F$4:F$23)</f>
        <v>-28</v>
      </c>
      <c r="F100">
        <f>_xlfn.XLOOKUP($A100,'2019-2020'!$B$4:$B$23,'2019-2020'!G$4:G$23)</f>
        <v>9</v>
      </c>
      <c r="G100">
        <f>_xlfn.XLOOKUP($A100,'2019-2020'!$B$4:$B$23,'2019-2020'!H$4:H$23)</f>
        <v>76</v>
      </c>
      <c r="H100">
        <f>_xlfn.XLOOKUP($A100,'2019-2020'!$B$4:$B$23,'2019-2020'!I$4:I$23)</f>
        <v>3</v>
      </c>
      <c r="I100">
        <f>_xlfn.XLOOKUP($A100,'2019-2020'!$B$4:$B$23,'2019-2020'!J$4:J$23)</f>
        <v>48.9</v>
      </c>
      <c r="J100">
        <f>_xlfn.XLOOKUP($A100,'2019-2020'!$B$4:$B$23,'2019-2020'!K$4:K$23)</f>
        <v>58.1</v>
      </c>
      <c r="K100">
        <f>_xlfn.XLOOKUP($A100,'2019-2020'!$B$4:$B$23,'2019-2020'!L$4:L$23)</f>
        <v>-12.899999999999999</v>
      </c>
      <c r="L100">
        <f>_xlfn.XLOOKUP($A100,'2019-2020'!$B$4:$B$23,'2019-2020'!M$4:M$23)</f>
        <v>416</v>
      </c>
      <c r="M100">
        <f>_xlfn.XLOOKUP($A100,'2019-2020'!$B$4:$B$23,'2019-2020'!N$4:N$23)</f>
        <v>112</v>
      </c>
      <c r="N100">
        <f>_xlfn.XLOOKUP($A100,'2019-2020'!$B$4:$B$23,'2019-2020'!O$4:O$23)</f>
        <v>7</v>
      </c>
      <c r="O100">
        <f>_xlfn.XLOOKUP($A100,'2019-2020'!$B$4:$B$23,'2019-2020'!P$4:P$23)</f>
        <v>2</v>
      </c>
      <c r="P100">
        <f>_xlfn.XLOOKUP($A100,'2019-2020'!$B$4:$B$23,'2019-2020'!Q$4:Q$23)</f>
        <v>36</v>
      </c>
      <c r="Q100">
        <f>_xlfn.XLOOKUP($A100,'2019-2020'!$B$4:$B$23,'2019-2020'!R$4:R$23)</f>
        <v>0</v>
      </c>
      <c r="R100">
        <f>_xlfn.XLOOKUP($A100,'2019-2020'!$B$4:$B$23,'2019-2020'!S$4:S$23)</f>
        <v>3</v>
      </c>
      <c r="S100">
        <f>_xlfn.XLOOKUP($A100,'2019-2020'!$B$4:$B$23,'2019-2020'!T$4:T$23)</f>
        <v>68</v>
      </c>
      <c r="T100">
        <f>_xlfn.XLOOKUP($A100,'2019-2020'!$B$4:$B$23,'2019-2020'!U$4:U$23)</f>
        <v>3</v>
      </c>
      <c r="U100">
        <f>_xlfn.XLOOKUP($A100,'2019-2020'!$B$4:$B$23,'2019-2020'!V$4:V$23)</f>
        <v>9</v>
      </c>
      <c r="V100">
        <f>_xlfn.XLOOKUP($A100,'2019-2020'!$B$4:$B$23,'2019-2020'!W$4:W$23)</f>
        <v>116</v>
      </c>
      <c r="W100">
        <f>_xlfn.XLOOKUP($A100,'2019-2020'!$B$4:$B$23,'2019-2020'!X$4:X$23)</f>
        <v>869</v>
      </c>
      <c r="X100">
        <f>_xlfn.XLOOKUP($A100,'2019-2020'!$B$4:$B$23,'2019-2020'!Y$4:Y$23)</f>
        <v>657</v>
      </c>
      <c r="Y100">
        <f>_xlfn.XLOOKUP($A100,'2019-2020'!$B$4:$B$23,'2019-2020'!Z$4:Z$23)</f>
        <v>481</v>
      </c>
      <c r="Z100">
        <f>_xlfn.XLOOKUP($A100,'2019-2020'!$B$4:$B$23,'2019-2020'!AA$4:AA$23)</f>
        <v>11230</v>
      </c>
      <c r="AA100">
        <f>_xlfn.XLOOKUP($A100,'2019-2020'!$B$4:$B$23,'2019-2020'!AB$4:AB$23)</f>
        <v>11</v>
      </c>
      <c r="AB100">
        <f>_xlfn.XLOOKUP($A100,'2019-2020'!$B$4:$B$23,'2019-2020'!AC$4:AC$23)</f>
        <v>2206</v>
      </c>
      <c r="AC100">
        <f>_xlfn.XLOOKUP($A100,'2019-2020'!$B$4:$B$23,'2019-2020'!AD$4:AD$23)</f>
        <v>684</v>
      </c>
      <c r="AD100">
        <f>_xlfn.XLOOKUP($A100,'2019-2020'!$B$4:$B$23,'2019-2020'!AE$4:AE$23)</f>
        <v>167</v>
      </c>
      <c r="AE100">
        <f>_xlfn.XLOOKUP($A100,'2019-2020'!$B$4:$B$23,'2019-2020'!AF$4:AF$23)</f>
        <v>48.5</v>
      </c>
      <c r="AF100">
        <f>_xlfn.XLOOKUP($A100,'2019-2020'!$B$4:$B$23,'2019-2020'!AG$4:AG$23)</f>
        <v>25.4</v>
      </c>
      <c r="AG100">
        <f>_xlfn.XLOOKUP($A100,'2019-2020'!$B$4:$B$23,'2019-2020'!AH$4:AH$23)</f>
        <v>21</v>
      </c>
      <c r="AH100">
        <f>_xlfn.XLOOKUP($A100,'2019-2020'!$B$4:$B$23,'2019-2020'!AI$4:AI$23)</f>
        <v>22</v>
      </c>
      <c r="AI100">
        <f>_xlfn.XLOOKUP($A100,'2019-2020'!$B$4:$B$23,'2019-2020'!AJ$4:AJ$23)</f>
        <v>199.6</v>
      </c>
      <c r="AJ100">
        <f>_xlfn.XLOOKUP($A100,'2019-2020'!$B$4:$B$23,'2019-2020'!AK$4:AK$23)</f>
        <v>43</v>
      </c>
      <c r="AK100">
        <f>_xlfn.XLOOKUP($A100,'2019-2020'!$B$4:$B$23,'2019-2020'!AL$4:AL$23)</f>
        <v>4.6418604651162791</v>
      </c>
      <c r="AL100">
        <f>_xlfn.XLOOKUP($A100,'2019-2020'!$B$4:$B$23,'2019-2020'!AM$4:AM$23)</f>
        <v>15353</v>
      </c>
      <c r="AM100">
        <f>_xlfn.XLOOKUP($A100,'2019-2020'!$B$4:$B$23,'2019-2020'!AN$4:AN$23)</f>
        <v>0.19</v>
      </c>
      <c r="AN100">
        <f>_xlfn.XLOOKUP($A100,'2019-2020'!$B$4:$B$23,'2019-2020'!AO$4:AO$23)</f>
        <v>0</v>
      </c>
      <c r="AO100">
        <f>_xlfn.XLOOKUP($A100,'2019-2020'!$B$4:$B$23,'2019-2020'!AP$4:AP$23)</f>
        <v>0</v>
      </c>
      <c r="AP100">
        <f>_xlfn.XLOOKUP($A100,'2019-2020'!$B$4:$B$23,'2019-2020'!AQ$4:AQ$23)</f>
        <v>0</v>
      </c>
      <c r="AQ100">
        <f>_xlfn.XLOOKUP($A100,'2019-2020'!$B$4:$B$23,'2019-2020'!AR$4:AR$23)</f>
        <v>1</v>
      </c>
      <c r="AR100">
        <f>_xlfn.XLOOKUP($A100,'2019-2020'!$B$4:$B$23,'2019-2020'!AS$4:AS$23)</f>
        <v>0</v>
      </c>
      <c r="AS100" t="str">
        <f>_xlfn.XLOOKUP($A100,'2019-2020'!$B$4:$B$23,'2019-2020'!AT$4:AT$23)</f>
        <v>19/20</v>
      </c>
    </row>
    <row r="101" spans="1:45" x14ac:dyDescent="0.25">
      <c r="A101">
        <v>20</v>
      </c>
      <c r="B101" t="str">
        <f>_xlfn.XLOOKUP($A101,'2019-2020'!$B$4:$B$23,'2019-2020'!C$4:C$23)</f>
        <v>Norwich City</v>
      </c>
      <c r="C101">
        <f>_xlfn.XLOOKUP($A101,'2019-2020'!$B$4:$B$23,'2019-2020'!D$4:D$23)</f>
        <v>26</v>
      </c>
      <c r="D101">
        <f>_xlfn.XLOOKUP($A101,'2019-2020'!$B$4:$B$23,'2019-2020'!E$4:E$23)</f>
        <v>75</v>
      </c>
      <c r="E101">
        <f>_xlfn.XLOOKUP($A101,'2019-2020'!$B$4:$B$23,'2019-2020'!F$4:F$23)</f>
        <v>-49</v>
      </c>
      <c r="F101">
        <f>_xlfn.XLOOKUP($A101,'2019-2020'!$B$4:$B$23,'2019-2020'!G$4:G$23)</f>
        <v>5</v>
      </c>
      <c r="G101">
        <f>_xlfn.XLOOKUP($A101,'2019-2020'!$B$4:$B$23,'2019-2020'!H$4:H$23)</f>
        <v>68</v>
      </c>
      <c r="H101">
        <f>_xlfn.XLOOKUP($A101,'2019-2020'!$B$4:$B$23,'2019-2020'!I$4:I$23)</f>
        <v>3</v>
      </c>
      <c r="I101">
        <f>_xlfn.XLOOKUP($A101,'2019-2020'!$B$4:$B$23,'2019-2020'!J$4:J$23)</f>
        <v>37</v>
      </c>
      <c r="J101">
        <f>_xlfn.XLOOKUP($A101,'2019-2020'!$B$4:$B$23,'2019-2020'!K$4:K$23)</f>
        <v>66.5</v>
      </c>
      <c r="K101">
        <f>_xlfn.XLOOKUP($A101,'2019-2020'!$B$4:$B$23,'2019-2020'!L$4:L$23)</f>
        <v>-11</v>
      </c>
      <c r="L101">
        <f>_xlfn.XLOOKUP($A101,'2019-2020'!$B$4:$B$23,'2019-2020'!M$4:M$23)</f>
        <v>407</v>
      </c>
      <c r="M101">
        <f>_xlfn.XLOOKUP($A101,'2019-2020'!$B$4:$B$23,'2019-2020'!N$4:N$23)</f>
        <v>126</v>
      </c>
      <c r="N101">
        <f>_xlfn.XLOOKUP($A101,'2019-2020'!$B$4:$B$23,'2019-2020'!O$4:O$23)</f>
        <v>2</v>
      </c>
      <c r="O101">
        <f>_xlfn.XLOOKUP($A101,'2019-2020'!$B$4:$B$23,'2019-2020'!P$4:P$23)</f>
        <v>1</v>
      </c>
      <c r="P101">
        <f>_xlfn.XLOOKUP($A101,'2019-2020'!$B$4:$B$23,'2019-2020'!Q$4:Q$23)</f>
        <v>24</v>
      </c>
      <c r="Q101">
        <f>_xlfn.XLOOKUP($A101,'2019-2020'!$B$4:$B$23,'2019-2020'!R$4:R$23)</f>
        <v>2</v>
      </c>
      <c r="R101">
        <f>_xlfn.XLOOKUP($A101,'2019-2020'!$B$4:$B$23,'2019-2020'!S$4:S$23)</f>
        <v>0</v>
      </c>
      <c r="S101">
        <f>_xlfn.XLOOKUP($A101,'2019-2020'!$B$4:$B$23,'2019-2020'!T$4:T$23)</f>
        <v>50</v>
      </c>
      <c r="T101">
        <f>_xlfn.XLOOKUP($A101,'2019-2020'!$B$4:$B$23,'2019-2020'!U$4:U$23)</f>
        <v>3</v>
      </c>
      <c r="U101">
        <f>_xlfn.XLOOKUP($A101,'2019-2020'!$B$4:$B$23,'2019-2020'!V$4:V$23)</f>
        <v>7</v>
      </c>
      <c r="V101">
        <f>_xlfn.XLOOKUP($A101,'2019-2020'!$B$4:$B$23,'2019-2020'!W$4:W$23)</f>
        <v>135</v>
      </c>
      <c r="W101">
        <f>_xlfn.XLOOKUP($A101,'2019-2020'!$B$4:$B$23,'2019-2020'!X$4:X$23)</f>
        <v>959</v>
      </c>
      <c r="X101">
        <f>_xlfn.XLOOKUP($A101,'2019-2020'!$B$4:$B$23,'2019-2020'!Y$4:Y$23)</f>
        <v>628</v>
      </c>
      <c r="Y101">
        <f>_xlfn.XLOOKUP($A101,'2019-2020'!$B$4:$B$23,'2019-2020'!Z$4:Z$23)</f>
        <v>363</v>
      </c>
      <c r="Z101">
        <f>_xlfn.XLOOKUP($A101,'2019-2020'!$B$4:$B$23,'2019-2020'!AA$4:AA$23)</f>
        <v>14965</v>
      </c>
      <c r="AA101">
        <f>_xlfn.XLOOKUP($A101,'2019-2020'!$B$4:$B$23,'2019-2020'!AB$4:AB$23)</f>
        <v>47</v>
      </c>
      <c r="AB101">
        <f>_xlfn.XLOOKUP($A101,'2019-2020'!$B$4:$B$23,'2019-2020'!AC$4:AC$23)</f>
        <v>3005</v>
      </c>
      <c r="AC101">
        <f>_xlfn.XLOOKUP($A101,'2019-2020'!$B$4:$B$23,'2019-2020'!AD$4:AD$23)</f>
        <v>473</v>
      </c>
      <c r="AD101">
        <f>_xlfn.XLOOKUP($A101,'2019-2020'!$B$4:$B$23,'2019-2020'!AE$4:AE$23)</f>
        <v>162</v>
      </c>
      <c r="AE101">
        <f>_xlfn.XLOOKUP($A101,'2019-2020'!$B$4:$B$23,'2019-2020'!AF$4:AF$23)</f>
        <v>8.82</v>
      </c>
      <c r="AF101">
        <f>_xlfn.XLOOKUP($A101,'2019-2020'!$B$4:$B$23,'2019-2020'!AG$4:AG$23)</f>
        <v>2.2000000000000002</v>
      </c>
      <c r="AG101">
        <f>_xlfn.XLOOKUP($A101,'2019-2020'!$B$4:$B$23,'2019-2020'!AH$4:AH$23)</f>
        <v>23</v>
      </c>
      <c r="AH101">
        <f>_xlfn.XLOOKUP($A101,'2019-2020'!$B$4:$B$23,'2019-2020'!AI$4:AI$23)</f>
        <v>28</v>
      </c>
      <c r="AI101">
        <f>_xlfn.XLOOKUP($A101,'2019-2020'!$B$4:$B$23,'2019-2020'!AJ$4:AJ$23)</f>
        <v>145.33000000000001</v>
      </c>
      <c r="AJ101">
        <f>_xlfn.XLOOKUP($A101,'2019-2020'!$B$4:$B$23,'2019-2020'!AK$4:AK$23)</f>
        <v>38</v>
      </c>
      <c r="AK101">
        <f>_xlfn.XLOOKUP($A101,'2019-2020'!$B$4:$B$23,'2019-2020'!AL$4:AL$23)</f>
        <v>3.8244736842105267</v>
      </c>
      <c r="AL101">
        <f>_xlfn.XLOOKUP($A101,'2019-2020'!$B$4:$B$23,'2019-2020'!AM$4:AM$23)</f>
        <v>19913</v>
      </c>
      <c r="AM101">
        <f>_xlfn.XLOOKUP($A101,'2019-2020'!$B$4:$B$23,'2019-2020'!AN$4:AN$23)</f>
        <v>0.43</v>
      </c>
      <c r="AN101">
        <f>_xlfn.XLOOKUP($A101,'2019-2020'!$B$4:$B$23,'2019-2020'!AO$4:AO$23)</f>
        <v>0</v>
      </c>
      <c r="AO101">
        <f>_xlfn.XLOOKUP($A101,'2019-2020'!$B$4:$B$23,'2019-2020'!AP$4:AP$23)</f>
        <v>1</v>
      </c>
      <c r="AP101">
        <f>_xlfn.XLOOKUP($A101,'2019-2020'!$B$4:$B$23,'2019-2020'!AQ$4:AQ$23)</f>
        <v>0</v>
      </c>
      <c r="AQ101">
        <f>_xlfn.XLOOKUP($A101,'2019-2020'!$B$4:$B$23,'2019-2020'!AR$4:AR$23)</f>
        <v>1</v>
      </c>
      <c r="AR101">
        <f>_xlfn.XLOOKUP($A101,'2019-2020'!$B$4:$B$23,'2019-2020'!AS$4:AS$23)</f>
        <v>0</v>
      </c>
      <c r="AS101" t="str">
        <f>_xlfn.XLOOKUP($A101,'2019-2020'!$B$4:$B$23,'2019-2020'!AT$4:AT$23)</f>
        <v>19/20</v>
      </c>
    </row>
    <row r="102" spans="1:45" x14ac:dyDescent="0.25">
      <c r="A102">
        <v>1</v>
      </c>
      <c r="B102" t="str">
        <f>_xlfn.XLOOKUP($A102,'2020-2021'!$B$4:$B$23,'2020-2021'!C$4:C$23)</f>
        <v>Manchester City</v>
      </c>
      <c r="C102">
        <f>_xlfn.XLOOKUP($A102,'2020-2021'!$B$4:$B$23,'2020-2021'!D$4:D$23)</f>
        <v>83</v>
      </c>
      <c r="D102">
        <f>_xlfn.XLOOKUP($A102,'2020-2021'!$B$4:$B$23,'2020-2021'!E$4:E$23)</f>
        <v>32</v>
      </c>
      <c r="E102">
        <f>_xlfn.XLOOKUP($A102,'2020-2021'!$B$4:$B$23,'2020-2021'!F$4:F$23)</f>
        <v>51</v>
      </c>
      <c r="F102">
        <f>_xlfn.XLOOKUP($A102,'2020-2021'!$B$4:$B$23,'2020-2021'!G$4:G$23)</f>
        <v>19</v>
      </c>
      <c r="G102">
        <f>_xlfn.XLOOKUP($A102,'2020-2021'!$B$4:$B$23,'2020-2021'!H$4:H$23)</f>
        <v>46</v>
      </c>
      <c r="H102">
        <f>_xlfn.XLOOKUP($A102,'2020-2021'!$B$4:$B$23,'2020-2021'!I$4:I$23)</f>
        <v>2</v>
      </c>
      <c r="I102">
        <f>_xlfn.XLOOKUP($A102,'2020-2021'!$B$4:$B$23,'2020-2021'!J$4:J$23)</f>
        <v>68.2</v>
      </c>
      <c r="J102">
        <f>_xlfn.XLOOKUP($A102,'2020-2021'!$B$4:$B$23,'2020-2021'!K$4:K$23)</f>
        <v>30.2</v>
      </c>
      <c r="K102">
        <f>_xlfn.XLOOKUP($A102,'2020-2021'!$B$4:$B$23,'2020-2021'!L$4:L$23)</f>
        <v>14.799999999999997</v>
      </c>
      <c r="L102">
        <f>_xlfn.XLOOKUP($A102,'2020-2021'!$B$4:$B$23,'2020-2021'!M$4:M$23)</f>
        <v>590</v>
      </c>
      <c r="M102">
        <f>_xlfn.XLOOKUP($A102,'2020-2021'!$B$4:$B$23,'2020-2021'!N$4:N$23)</f>
        <v>211</v>
      </c>
      <c r="N102">
        <f>_xlfn.XLOOKUP($A102,'2020-2021'!$B$4:$B$23,'2020-2021'!O$4:O$23)</f>
        <v>5</v>
      </c>
      <c r="O102">
        <f>_xlfn.XLOOKUP($A102,'2020-2021'!$B$4:$B$23,'2020-2021'!P$4:P$23)</f>
        <v>10</v>
      </c>
      <c r="P102">
        <f>_xlfn.XLOOKUP($A102,'2020-2021'!$B$4:$B$23,'2020-2021'!Q$4:Q$23)</f>
        <v>73</v>
      </c>
      <c r="Q102">
        <f>_xlfn.XLOOKUP($A102,'2020-2021'!$B$4:$B$23,'2020-2021'!R$4:R$23)</f>
        <v>10</v>
      </c>
      <c r="R102">
        <f>_xlfn.XLOOKUP($A102,'2020-2021'!$B$4:$B$23,'2020-2021'!S$4:S$23)</f>
        <v>3</v>
      </c>
      <c r="S102">
        <f>_xlfn.XLOOKUP($A102,'2020-2021'!$B$4:$B$23,'2020-2021'!T$4:T$23)</f>
        <v>57</v>
      </c>
      <c r="T102">
        <f>_xlfn.XLOOKUP($A102,'2020-2021'!$B$4:$B$23,'2020-2021'!U$4:U$23)</f>
        <v>1</v>
      </c>
      <c r="U102">
        <f>_xlfn.XLOOKUP($A102,'2020-2021'!$B$4:$B$23,'2020-2021'!V$4:V$23)</f>
        <v>10</v>
      </c>
      <c r="V102">
        <f>_xlfn.XLOOKUP($A102,'2020-2021'!$B$4:$B$23,'2020-2021'!W$4:W$23)</f>
        <v>67</v>
      </c>
      <c r="W102">
        <f>_xlfn.XLOOKUP($A102,'2020-2021'!$B$4:$B$23,'2020-2021'!X$4:X$23)</f>
        <v>453</v>
      </c>
      <c r="X102">
        <f>_xlfn.XLOOKUP($A102,'2020-2021'!$B$4:$B$23,'2020-2021'!Y$4:Y$23)</f>
        <v>498</v>
      </c>
      <c r="Y102">
        <f>_xlfn.XLOOKUP($A102,'2020-2021'!$B$4:$B$23,'2020-2021'!Z$4:Z$23)</f>
        <v>361</v>
      </c>
      <c r="Z102">
        <f>_xlfn.XLOOKUP($A102,'2020-2021'!$B$4:$B$23,'2020-2021'!AA$4:AA$23)</f>
        <v>23819</v>
      </c>
      <c r="AA102">
        <f>_xlfn.XLOOKUP($A102,'2020-2021'!$B$4:$B$23,'2020-2021'!AB$4:AB$23)</f>
        <v>38</v>
      </c>
      <c r="AB102">
        <f>_xlfn.XLOOKUP($A102,'2020-2021'!$B$4:$B$23,'2020-2021'!AC$4:AC$23)</f>
        <v>4275</v>
      </c>
      <c r="AC102">
        <f>_xlfn.XLOOKUP($A102,'2020-2021'!$B$4:$B$23,'2020-2021'!AD$4:AD$23)</f>
        <v>632</v>
      </c>
      <c r="AD102">
        <f>_xlfn.XLOOKUP($A102,'2020-2021'!$B$4:$B$23,'2020-2021'!AE$4:AE$23)</f>
        <v>247</v>
      </c>
      <c r="AE102">
        <f>_xlfn.XLOOKUP($A102,'2020-2021'!$B$4:$B$23,'2020-2021'!AF$4:AF$23)</f>
        <v>172.3</v>
      </c>
      <c r="AF102">
        <f>_xlfn.XLOOKUP($A102,'2020-2021'!$B$4:$B$23,'2020-2021'!AG$4:AG$23)</f>
        <v>76.650000000000006</v>
      </c>
      <c r="AG102">
        <f>_xlfn.XLOOKUP($A102,'2020-2021'!$B$4:$B$23,'2020-2021'!AH$4:AH$23)</f>
        <v>28</v>
      </c>
      <c r="AH102">
        <f>_xlfn.XLOOKUP($A102,'2020-2021'!$B$4:$B$23,'2020-2021'!AI$4:AI$23)</f>
        <v>27</v>
      </c>
      <c r="AI102">
        <f>_xlfn.XLOOKUP($A102,'2020-2021'!$B$4:$B$23,'2020-2021'!AJ$4:AJ$23)</f>
        <v>1040</v>
      </c>
      <c r="AJ102">
        <f>_xlfn.XLOOKUP($A102,'2020-2021'!$B$4:$B$23,'2020-2021'!AK$4:AK$23)</f>
        <v>36</v>
      </c>
      <c r="AK102">
        <f>_xlfn.XLOOKUP($A102,'2020-2021'!$B$4:$B$23,'2020-2021'!AL$4:AL$23)</f>
        <v>28.888888888888889</v>
      </c>
      <c r="AL102">
        <f>_xlfn.XLOOKUP($A102,'2020-2021'!$B$4:$B$23,'2020-2021'!AM$4:AM$23)</f>
        <v>526</v>
      </c>
      <c r="AM102">
        <f>_xlfn.XLOOKUP($A102,'2020-2021'!$B$4:$B$23,'2020-2021'!AN$4:AN$23)</f>
        <v>-0.01</v>
      </c>
      <c r="AN102">
        <f>_xlfn.XLOOKUP($A102,'2020-2021'!$B$4:$B$23,'2020-2021'!AO$4:AO$23)</f>
        <v>1</v>
      </c>
      <c r="AO102">
        <f>_xlfn.XLOOKUP($A102,'2020-2021'!$B$4:$B$23,'2020-2021'!AP$4:AP$23)</f>
        <v>0</v>
      </c>
      <c r="AP102">
        <f>_xlfn.XLOOKUP($A102,'2020-2021'!$B$4:$B$23,'2020-2021'!AQ$4:AQ$23)</f>
        <v>1</v>
      </c>
      <c r="AQ102">
        <f>_xlfn.XLOOKUP($A102,'2020-2021'!$B$4:$B$23,'2020-2021'!AR$4:AR$23)</f>
        <v>0</v>
      </c>
      <c r="AR102">
        <f>_xlfn.XLOOKUP($A102,'2020-2021'!$B$4:$B$23,'2020-2021'!AS$4:AS$23)</f>
        <v>1</v>
      </c>
      <c r="AS102" t="str">
        <f>_xlfn.XLOOKUP($A102,'2020-2021'!$B$4:$B$23,'2020-2021'!AT$4:AT$23)</f>
        <v>20/21</v>
      </c>
    </row>
    <row r="103" spans="1:45" x14ac:dyDescent="0.25">
      <c r="A103">
        <v>2</v>
      </c>
      <c r="B103" t="str">
        <f>_xlfn.XLOOKUP($A103,'2020-2021'!$B$4:$B$23,'2020-2021'!C$4:C$23)</f>
        <v>Manchester United</v>
      </c>
      <c r="C103">
        <f>_xlfn.XLOOKUP($A103,'2020-2021'!$B$4:$B$23,'2020-2021'!D$4:D$23)</f>
        <v>73</v>
      </c>
      <c r="D103">
        <f>_xlfn.XLOOKUP($A103,'2020-2021'!$B$4:$B$23,'2020-2021'!E$4:E$23)</f>
        <v>44</v>
      </c>
      <c r="E103">
        <f>_xlfn.XLOOKUP($A103,'2020-2021'!$B$4:$B$23,'2020-2021'!F$4:F$23)</f>
        <v>29</v>
      </c>
      <c r="F103">
        <f>_xlfn.XLOOKUP($A103,'2020-2021'!$B$4:$B$23,'2020-2021'!G$4:G$23)</f>
        <v>13</v>
      </c>
      <c r="G103">
        <f>_xlfn.XLOOKUP($A103,'2020-2021'!$B$4:$B$23,'2020-2021'!H$4:H$23)</f>
        <v>64</v>
      </c>
      <c r="H103">
        <f>_xlfn.XLOOKUP($A103,'2020-2021'!$B$4:$B$23,'2020-2021'!I$4:I$23)</f>
        <v>1</v>
      </c>
      <c r="I103">
        <f>_xlfn.XLOOKUP($A103,'2020-2021'!$B$4:$B$23,'2020-2021'!J$4:J$23)</f>
        <v>60.1</v>
      </c>
      <c r="J103">
        <f>_xlfn.XLOOKUP($A103,'2020-2021'!$B$4:$B$23,'2020-2021'!K$4:K$23)</f>
        <v>41.4</v>
      </c>
      <c r="K103">
        <f>_xlfn.XLOOKUP($A103,'2020-2021'!$B$4:$B$23,'2020-2021'!L$4:L$23)</f>
        <v>12.899999999999999</v>
      </c>
      <c r="L103">
        <f>_xlfn.XLOOKUP($A103,'2020-2021'!$B$4:$B$23,'2020-2021'!M$4:M$23)</f>
        <v>515</v>
      </c>
      <c r="M103">
        <f>_xlfn.XLOOKUP($A103,'2020-2021'!$B$4:$B$23,'2020-2021'!N$4:N$23)</f>
        <v>196</v>
      </c>
      <c r="N103">
        <f>_xlfn.XLOOKUP($A103,'2020-2021'!$B$4:$B$23,'2020-2021'!O$4:O$23)</f>
        <v>10</v>
      </c>
      <c r="O103">
        <f>_xlfn.XLOOKUP($A103,'2020-2021'!$B$4:$B$23,'2020-2021'!P$4:P$23)</f>
        <v>13</v>
      </c>
      <c r="P103">
        <f>_xlfn.XLOOKUP($A103,'2020-2021'!$B$4:$B$23,'2020-2021'!Q$4:Q$23)</f>
        <v>65</v>
      </c>
      <c r="Q103">
        <f>_xlfn.XLOOKUP($A103,'2020-2021'!$B$4:$B$23,'2020-2021'!R$4:R$23)</f>
        <v>8</v>
      </c>
      <c r="R103">
        <f>_xlfn.XLOOKUP($A103,'2020-2021'!$B$4:$B$23,'2020-2021'!S$4:S$23)</f>
        <v>6</v>
      </c>
      <c r="S103">
        <f>_xlfn.XLOOKUP($A103,'2020-2021'!$B$4:$B$23,'2020-2021'!T$4:T$23)</f>
        <v>76</v>
      </c>
      <c r="T103">
        <f>_xlfn.XLOOKUP($A103,'2020-2021'!$B$4:$B$23,'2020-2021'!U$4:U$23)</f>
        <v>2</v>
      </c>
      <c r="U103">
        <f>_xlfn.XLOOKUP($A103,'2020-2021'!$B$4:$B$23,'2020-2021'!V$4:V$23)</f>
        <v>4</v>
      </c>
      <c r="V103">
        <f>_xlfn.XLOOKUP($A103,'2020-2021'!$B$4:$B$23,'2020-2021'!W$4:W$23)</f>
        <v>98</v>
      </c>
      <c r="W103">
        <f>_xlfn.XLOOKUP($A103,'2020-2021'!$B$4:$B$23,'2020-2021'!X$4:X$23)</f>
        <v>634</v>
      </c>
      <c r="X103">
        <f>_xlfn.XLOOKUP($A103,'2020-2021'!$B$4:$B$23,'2020-2021'!Y$4:Y$23)</f>
        <v>551</v>
      </c>
      <c r="Y103">
        <f>_xlfn.XLOOKUP($A103,'2020-2021'!$B$4:$B$23,'2020-2021'!Z$4:Z$23)</f>
        <v>452</v>
      </c>
      <c r="Z103">
        <f>_xlfn.XLOOKUP($A103,'2020-2021'!$B$4:$B$23,'2020-2021'!AA$4:AA$23)</f>
        <v>18800</v>
      </c>
      <c r="AA103">
        <f>_xlfn.XLOOKUP($A103,'2020-2021'!$B$4:$B$23,'2020-2021'!AB$4:AB$23)</f>
        <v>34</v>
      </c>
      <c r="AB103">
        <f>_xlfn.XLOOKUP($A103,'2020-2021'!$B$4:$B$23,'2020-2021'!AC$4:AC$23)</f>
        <v>3080</v>
      </c>
      <c r="AC103">
        <f>_xlfn.XLOOKUP($A103,'2020-2021'!$B$4:$B$23,'2020-2021'!AD$4:AD$23)</f>
        <v>640</v>
      </c>
      <c r="AD103">
        <f>_xlfn.XLOOKUP($A103,'2020-2021'!$B$4:$B$23,'2020-2021'!AE$4:AE$23)</f>
        <v>197</v>
      </c>
      <c r="AE103">
        <f>_xlfn.XLOOKUP($A103,'2020-2021'!$B$4:$B$23,'2020-2021'!AF$4:AF$23)</f>
        <v>140</v>
      </c>
      <c r="AF103">
        <f>_xlfn.XLOOKUP($A103,'2020-2021'!$B$4:$B$23,'2020-2021'!AG$4:AG$23)</f>
        <v>30.7</v>
      </c>
      <c r="AG103">
        <f>_xlfn.XLOOKUP($A103,'2020-2021'!$B$4:$B$23,'2020-2021'!AH$4:AH$23)</f>
        <v>17</v>
      </c>
      <c r="AH103">
        <f>_xlfn.XLOOKUP($A103,'2020-2021'!$B$4:$B$23,'2020-2021'!AI$4:AI$23)</f>
        <v>17</v>
      </c>
      <c r="AI103">
        <f>_xlfn.XLOOKUP($A103,'2020-2021'!$B$4:$B$23,'2020-2021'!AJ$4:AJ$23)</f>
        <v>770.5</v>
      </c>
      <c r="AJ103">
        <f>_xlfn.XLOOKUP($A103,'2020-2021'!$B$4:$B$23,'2020-2021'!AK$4:AK$23)</f>
        <v>39</v>
      </c>
      <c r="AK103">
        <f>_xlfn.XLOOKUP($A103,'2020-2021'!$B$4:$B$23,'2020-2021'!AL$4:AL$23)</f>
        <v>19.756410256410255</v>
      </c>
      <c r="AL103">
        <f>_xlfn.XLOOKUP($A103,'2020-2021'!$B$4:$B$23,'2020-2021'!AM$4:AM$23)</f>
        <v>526</v>
      </c>
      <c r="AM103">
        <f>_xlfn.XLOOKUP($A103,'2020-2021'!$B$4:$B$23,'2020-2021'!AN$4:AN$23)</f>
        <v>-0.12</v>
      </c>
      <c r="AN103">
        <f>_xlfn.XLOOKUP($A103,'2020-2021'!$B$4:$B$23,'2020-2021'!AO$4:AO$23)</f>
        <v>1</v>
      </c>
      <c r="AO103">
        <f>_xlfn.XLOOKUP($A103,'2020-2021'!$B$4:$B$23,'2020-2021'!AP$4:AP$23)</f>
        <v>0</v>
      </c>
      <c r="AP103">
        <f>_xlfn.XLOOKUP($A103,'2020-2021'!$B$4:$B$23,'2020-2021'!AQ$4:AQ$23)</f>
        <v>1</v>
      </c>
      <c r="AQ103">
        <f>_xlfn.XLOOKUP($A103,'2020-2021'!$B$4:$B$23,'2020-2021'!AR$4:AR$23)</f>
        <v>0</v>
      </c>
      <c r="AR103">
        <f>_xlfn.XLOOKUP($A103,'2020-2021'!$B$4:$B$23,'2020-2021'!AS$4:AS$23)</f>
        <v>1</v>
      </c>
      <c r="AS103" t="str">
        <f>_xlfn.XLOOKUP($A103,'2020-2021'!$B$4:$B$23,'2020-2021'!AT$4:AT$23)</f>
        <v>20/21</v>
      </c>
    </row>
    <row r="104" spans="1:45" x14ac:dyDescent="0.25">
      <c r="A104">
        <v>3</v>
      </c>
      <c r="B104" t="str">
        <f>_xlfn.XLOOKUP($A104,'2020-2021'!$B$4:$B$23,'2020-2021'!C$4:C$23)</f>
        <v>Liverpool</v>
      </c>
      <c r="C104">
        <f>_xlfn.XLOOKUP($A104,'2020-2021'!$B$4:$B$23,'2020-2021'!D$4:D$23)</f>
        <v>68</v>
      </c>
      <c r="D104">
        <f>_xlfn.XLOOKUP($A104,'2020-2021'!$B$4:$B$23,'2020-2021'!E$4:E$23)</f>
        <v>42</v>
      </c>
      <c r="E104">
        <f>_xlfn.XLOOKUP($A104,'2020-2021'!$B$4:$B$23,'2020-2021'!F$4:F$23)</f>
        <v>26</v>
      </c>
      <c r="F104">
        <f>_xlfn.XLOOKUP($A104,'2020-2021'!$B$4:$B$23,'2020-2021'!G$4:G$23)</f>
        <v>12</v>
      </c>
      <c r="G104">
        <f>_xlfn.XLOOKUP($A104,'2020-2021'!$B$4:$B$23,'2020-2021'!H$4:H$23)</f>
        <v>40</v>
      </c>
      <c r="H104">
        <f>_xlfn.XLOOKUP($A104,'2020-2021'!$B$4:$B$23,'2020-2021'!I$4:I$23)</f>
        <v>0</v>
      </c>
      <c r="I104">
        <f>_xlfn.XLOOKUP($A104,'2020-2021'!$B$4:$B$23,'2020-2021'!J$4:J$23)</f>
        <v>67.5</v>
      </c>
      <c r="J104">
        <f>_xlfn.XLOOKUP($A104,'2020-2021'!$B$4:$B$23,'2020-2021'!K$4:K$23)</f>
        <v>43</v>
      </c>
      <c r="K104">
        <f>_xlfn.XLOOKUP($A104,'2020-2021'!$B$4:$B$23,'2020-2021'!L$4:L$23)</f>
        <v>0.5</v>
      </c>
      <c r="L104">
        <f>_xlfn.XLOOKUP($A104,'2020-2021'!$B$4:$B$23,'2020-2021'!M$4:M$23)</f>
        <v>602</v>
      </c>
      <c r="M104">
        <f>_xlfn.XLOOKUP($A104,'2020-2021'!$B$4:$B$23,'2020-2021'!N$4:N$23)</f>
        <v>204</v>
      </c>
      <c r="N104">
        <f>_xlfn.XLOOKUP($A104,'2020-2021'!$B$4:$B$23,'2020-2021'!O$4:O$23)</f>
        <v>6</v>
      </c>
      <c r="O104">
        <f>_xlfn.XLOOKUP($A104,'2020-2021'!$B$4:$B$23,'2020-2021'!P$4:P$23)</f>
        <v>15</v>
      </c>
      <c r="P104">
        <f>_xlfn.XLOOKUP($A104,'2020-2021'!$B$4:$B$23,'2020-2021'!Q$4:Q$23)</f>
        <v>62</v>
      </c>
      <c r="Q104">
        <f>_xlfn.XLOOKUP($A104,'2020-2021'!$B$4:$B$23,'2020-2021'!R$4:R$23)</f>
        <v>6</v>
      </c>
      <c r="R104">
        <f>_xlfn.XLOOKUP($A104,'2020-2021'!$B$4:$B$23,'2020-2021'!S$4:S$23)</f>
        <v>5</v>
      </c>
      <c r="S104">
        <f>_xlfn.XLOOKUP($A104,'2020-2021'!$B$4:$B$23,'2020-2021'!T$4:T$23)</f>
        <v>65</v>
      </c>
      <c r="T104">
        <f>_xlfn.XLOOKUP($A104,'2020-2021'!$B$4:$B$23,'2020-2021'!U$4:U$23)</f>
        <v>0</v>
      </c>
      <c r="U104">
        <f>_xlfn.XLOOKUP($A104,'2020-2021'!$B$4:$B$23,'2020-2021'!V$4:V$23)</f>
        <v>8</v>
      </c>
      <c r="V104">
        <f>_xlfn.XLOOKUP($A104,'2020-2021'!$B$4:$B$23,'2020-2021'!W$4:W$23)</f>
        <v>97</v>
      </c>
      <c r="W104">
        <f>_xlfn.XLOOKUP($A104,'2020-2021'!$B$4:$B$23,'2020-2021'!X$4:X$23)</f>
        <v>563</v>
      </c>
      <c r="X104">
        <f>_xlfn.XLOOKUP($A104,'2020-2021'!$B$4:$B$23,'2020-2021'!Y$4:Y$23)</f>
        <v>526</v>
      </c>
      <c r="Y104">
        <f>_xlfn.XLOOKUP($A104,'2020-2021'!$B$4:$B$23,'2020-2021'!Z$4:Z$23)</f>
        <v>396</v>
      </c>
      <c r="Z104">
        <f>_xlfn.XLOOKUP($A104,'2020-2021'!$B$4:$B$23,'2020-2021'!AA$4:AA$23)</f>
        <v>21929</v>
      </c>
      <c r="AA104">
        <f>_xlfn.XLOOKUP($A104,'2020-2021'!$B$4:$B$23,'2020-2021'!AB$4:AB$23)</f>
        <v>44</v>
      </c>
      <c r="AB104">
        <f>_xlfn.XLOOKUP($A104,'2020-2021'!$B$4:$B$23,'2020-2021'!AC$4:AC$23)</f>
        <v>3472</v>
      </c>
      <c r="AC104">
        <f>_xlfn.XLOOKUP($A104,'2020-2021'!$B$4:$B$23,'2020-2021'!AD$4:AD$23)</f>
        <v>862</v>
      </c>
      <c r="AD104">
        <f>_xlfn.XLOOKUP($A104,'2020-2021'!$B$4:$B$23,'2020-2021'!AE$4:AE$23)</f>
        <v>257</v>
      </c>
      <c r="AE104">
        <f>_xlfn.XLOOKUP($A104,'2020-2021'!$B$4:$B$23,'2020-2021'!AF$4:AF$23)</f>
        <v>82.65</v>
      </c>
      <c r="AF104">
        <f>_xlfn.XLOOKUP($A104,'2020-2021'!$B$4:$B$23,'2020-2021'!AG$4:AG$23)</f>
        <v>17.2</v>
      </c>
      <c r="AG104">
        <f>_xlfn.XLOOKUP($A104,'2020-2021'!$B$4:$B$23,'2020-2021'!AH$4:AH$23)</f>
        <v>16</v>
      </c>
      <c r="AH104">
        <f>_xlfn.XLOOKUP($A104,'2020-2021'!$B$4:$B$23,'2020-2021'!AI$4:AI$23)</f>
        <v>13</v>
      </c>
      <c r="AI104">
        <f>_xlfn.XLOOKUP($A104,'2020-2021'!$B$4:$B$23,'2020-2021'!AJ$4:AJ$23)</f>
        <v>969.65</v>
      </c>
      <c r="AJ104">
        <f>_xlfn.XLOOKUP($A104,'2020-2021'!$B$4:$B$23,'2020-2021'!AK$4:AK$23)</f>
        <v>43</v>
      </c>
      <c r="AK104">
        <f>_xlfn.XLOOKUP($A104,'2020-2021'!$B$4:$B$23,'2020-2021'!AL$4:AL$23)</f>
        <v>22.55</v>
      </c>
      <c r="AL104">
        <f>_xlfn.XLOOKUP($A104,'2020-2021'!$B$4:$B$23,'2020-2021'!AM$4:AM$23)</f>
        <v>837</v>
      </c>
      <c r="AM104">
        <f>_xlfn.XLOOKUP($A104,'2020-2021'!$B$4:$B$23,'2020-2021'!AN$4:AN$23)</f>
        <v>-0.05</v>
      </c>
      <c r="AN104">
        <f>_xlfn.XLOOKUP($A104,'2020-2021'!$B$4:$B$23,'2020-2021'!AO$4:AO$23)</f>
        <v>1</v>
      </c>
      <c r="AO104">
        <f>_xlfn.XLOOKUP($A104,'2020-2021'!$B$4:$B$23,'2020-2021'!AP$4:AP$23)</f>
        <v>0</v>
      </c>
      <c r="AP104">
        <f>_xlfn.XLOOKUP($A104,'2020-2021'!$B$4:$B$23,'2020-2021'!AQ$4:AQ$23)</f>
        <v>1</v>
      </c>
      <c r="AQ104">
        <f>_xlfn.XLOOKUP($A104,'2020-2021'!$B$4:$B$23,'2020-2021'!AR$4:AR$23)</f>
        <v>0</v>
      </c>
      <c r="AR104">
        <f>_xlfn.XLOOKUP($A104,'2020-2021'!$B$4:$B$23,'2020-2021'!AS$4:AS$23)</f>
        <v>1</v>
      </c>
      <c r="AS104" t="str">
        <f>_xlfn.XLOOKUP($A104,'2020-2021'!$B$4:$B$23,'2020-2021'!AT$4:AT$23)</f>
        <v>20/21</v>
      </c>
    </row>
    <row r="105" spans="1:45" x14ac:dyDescent="0.25">
      <c r="A105">
        <v>4</v>
      </c>
      <c r="B105" t="str">
        <f>_xlfn.XLOOKUP($A105,'2020-2021'!$B$4:$B$23,'2020-2021'!C$4:C$23)</f>
        <v>Chelsea</v>
      </c>
      <c r="C105">
        <f>_xlfn.XLOOKUP($A105,'2020-2021'!$B$4:$B$23,'2020-2021'!D$4:D$23)</f>
        <v>58</v>
      </c>
      <c r="D105">
        <f>_xlfn.XLOOKUP($A105,'2020-2021'!$B$4:$B$23,'2020-2021'!E$4:E$23)</f>
        <v>36</v>
      </c>
      <c r="E105">
        <f>_xlfn.XLOOKUP($A105,'2020-2021'!$B$4:$B$23,'2020-2021'!F$4:F$23)</f>
        <v>22</v>
      </c>
      <c r="F105">
        <f>_xlfn.XLOOKUP($A105,'2020-2021'!$B$4:$B$23,'2020-2021'!G$4:G$23)</f>
        <v>18</v>
      </c>
      <c r="G105">
        <f>_xlfn.XLOOKUP($A105,'2020-2021'!$B$4:$B$23,'2020-2021'!H$4:H$23)</f>
        <v>50</v>
      </c>
      <c r="H105">
        <f>_xlfn.XLOOKUP($A105,'2020-2021'!$B$4:$B$23,'2020-2021'!I$4:I$23)</f>
        <v>3</v>
      </c>
      <c r="I105">
        <f>_xlfn.XLOOKUP($A105,'2020-2021'!$B$4:$B$23,'2020-2021'!J$4:J$23)</f>
        <v>62.4</v>
      </c>
      <c r="J105">
        <f>_xlfn.XLOOKUP($A105,'2020-2021'!$B$4:$B$23,'2020-2021'!K$4:K$23)</f>
        <v>30.3</v>
      </c>
      <c r="K105">
        <f>_xlfn.XLOOKUP($A105,'2020-2021'!$B$4:$B$23,'2020-2021'!L$4:L$23)</f>
        <v>-4.3999999999999986</v>
      </c>
      <c r="L105">
        <f>_xlfn.XLOOKUP($A105,'2020-2021'!$B$4:$B$23,'2020-2021'!M$4:M$23)</f>
        <v>546</v>
      </c>
      <c r="M105">
        <f>_xlfn.XLOOKUP($A105,'2020-2021'!$B$4:$B$23,'2020-2021'!N$4:N$23)</f>
        <v>193</v>
      </c>
      <c r="N105">
        <f>_xlfn.XLOOKUP($A105,'2020-2021'!$B$4:$B$23,'2020-2021'!O$4:O$23)</f>
        <v>8</v>
      </c>
      <c r="O105">
        <f>_xlfn.XLOOKUP($A105,'2020-2021'!$B$4:$B$23,'2020-2021'!P$4:P$23)</f>
        <v>9</v>
      </c>
      <c r="P105">
        <f>_xlfn.XLOOKUP($A105,'2020-2021'!$B$4:$B$23,'2020-2021'!Q$4:Q$23)</f>
        <v>55</v>
      </c>
      <c r="Q105">
        <f>_xlfn.XLOOKUP($A105,'2020-2021'!$B$4:$B$23,'2020-2021'!R$4:R$23)</f>
        <v>3</v>
      </c>
      <c r="R105">
        <f>_xlfn.XLOOKUP($A105,'2020-2021'!$B$4:$B$23,'2020-2021'!S$4:S$23)</f>
        <v>2</v>
      </c>
      <c r="S105">
        <f>_xlfn.XLOOKUP($A105,'2020-2021'!$B$4:$B$23,'2020-2021'!T$4:T$23)</f>
        <v>79</v>
      </c>
      <c r="T105">
        <f>_xlfn.XLOOKUP($A105,'2020-2021'!$B$4:$B$23,'2020-2021'!U$4:U$23)</f>
        <v>1</v>
      </c>
      <c r="U105">
        <f>_xlfn.XLOOKUP($A105,'2020-2021'!$B$4:$B$23,'2020-2021'!V$4:V$23)</f>
        <v>4</v>
      </c>
      <c r="V105">
        <f>_xlfn.XLOOKUP($A105,'2020-2021'!$B$4:$B$23,'2020-2021'!W$4:W$23)</f>
        <v>71</v>
      </c>
      <c r="W105">
        <f>_xlfn.XLOOKUP($A105,'2020-2021'!$B$4:$B$23,'2020-2021'!X$4:X$23)</f>
        <v>661</v>
      </c>
      <c r="X105">
        <f>_xlfn.XLOOKUP($A105,'2020-2021'!$B$4:$B$23,'2020-2021'!Y$4:Y$23)</f>
        <v>612</v>
      </c>
      <c r="Y105">
        <f>_xlfn.XLOOKUP($A105,'2020-2021'!$B$4:$B$23,'2020-2021'!Z$4:Z$23)</f>
        <v>433</v>
      </c>
      <c r="Z105">
        <f>_xlfn.XLOOKUP($A105,'2020-2021'!$B$4:$B$23,'2020-2021'!AA$4:AA$23)</f>
        <v>21969</v>
      </c>
      <c r="AA105">
        <f>_xlfn.XLOOKUP($A105,'2020-2021'!$B$4:$B$23,'2020-2021'!AB$4:AB$23)</f>
        <v>29</v>
      </c>
      <c r="AB105">
        <f>_xlfn.XLOOKUP($A105,'2020-2021'!$B$4:$B$23,'2020-2021'!AC$4:AC$23)</f>
        <v>3889</v>
      </c>
      <c r="AC105">
        <f>_xlfn.XLOOKUP($A105,'2020-2021'!$B$4:$B$23,'2020-2021'!AD$4:AD$23)</f>
        <v>749</v>
      </c>
      <c r="AD105">
        <f>_xlfn.XLOOKUP($A105,'2020-2021'!$B$4:$B$23,'2020-2021'!AE$4:AE$23)</f>
        <v>226</v>
      </c>
      <c r="AE105">
        <f>_xlfn.XLOOKUP($A105,'2020-2021'!$B$4:$B$23,'2020-2021'!AF$4:AF$23)</f>
        <v>247.2</v>
      </c>
      <c r="AF105">
        <f>_xlfn.XLOOKUP($A105,'2020-2021'!$B$4:$B$23,'2020-2021'!AG$4:AG$23)</f>
        <v>57.4</v>
      </c>
      <c r="AG105">
        <f>_xlfn.XLOOKUP($A105,'2020-2021'!$B$4:$B$23,'2020-2021'!AH$4:AH$23)</f>
        <v>31</v>
      </c>
      <c r="AH105">
        <f>_xlfn.XLOOKUP($A105,'2020-2021'!$B$4:$B$23,'2020-2021'!AI$4:AI$23)</f>
        <v>26</v>
      </c>
      <c r="AI105">
        <f>_xlfn.XLOOKUP($A105,'2020-2021'!$B$4:$B$23,'2020-2021'!AJ$4:AJ$23)</f>
        <v>889.2</v>
      </c>
      <c r="AJ105">
        <f>_xlfn.XLOOKUP($A105,'2020-2021'!$B$4:$B$23,'2020-2021'!AK$4:AK$23)</f>
        <v>39</v>
      </c>
      <c r="AK105">
        <f>_xlfn.XLOOKUP($A105,'2020-2021'!$B$4:$B$23,'2020-2021'!AL$4:AL$23)</f>
        <v>22.8</v>
      </c>
      <c r="AL105">
        <f>_xlfn.XLOOKUP($A105,'2020-2021'!$B$4:$B$23,'2020-2021'!AM$4:AM$23)</f>
        <v>526</v>
      </c>
      <c r="AM105">
        <f>_xlfn.XLOOKUP($A105,'2020-2021'!$B$4:$B$23,'2020-2021'!AN$4:AN$23)</f>
        <v>0</v>
      </c>
      <c r="AN105">
        <f>_xlfn.XLOOKUP($A105,'2020-2021'!$B$4:$B$23,'2020-2021'!AO$4:AO$23)</f>
        <v>1</v>
      </c>
      <c r="AO105">
        <f>_xlfn.XLOOKUP($A105,'2020-2021'!$B$4:$B$23,'2020-2021'!AP$4:AP$23)</f>
        <v>0</v>
      </c>
      <c r="AP105">
        <f>_xlfn.XLOOKUP($A105,'2020-2021'!$B$4:$B$23,'2020-2021'!AQ$4:AQ$23)</f>
        <v>1</v>
      </c>
      <c r="AQ105">
        <f>_xlfn.XLOOKUP($A105,'2020-2021'!$B$4:$B$23,'2020-2021'!AR$4:AR$23)</f>
        <v>0</v>
      </c>
      <c r="AR105">
        <f>_xlfn.XLOOKUP($A105,'2020-2021'!$B$4:$B$23,'2020-2021'!AS$4:AS$23)</f>
        <v>1</v>
      </c>
      <c r="AS105" t="str">
        <f>_xlfn.XLOOKUP($A105,'2020-2021'!$B$4:$B$23,'2020-2021'!AT$4:AT$23)</f>
        <v>20/21</v>
      </c>
    </row>
    <row r="106" spans="1:45" x14ac:dyDescent="0.25">
      <c r="A106">
        <v>5</v>
      </c>
      <c r="B106" t="str">
        <f>_xlfn.XLOOKUP($A106,'2020-2021'!$B$4:$B$23,'2020-2021'!C$4:C$23)</f>
        <v>Leicester City</v>
      </c>
      <c r="C106">
        <f>_xlfn.XLOOKUP($A106,'2020-2021'!$B$4:$B$23,'2020-2021'!D$4:D$23)</f>
        <v>68</v>
      </c>
      <c r="D106">
        <f>_xlfn.XLOOKUP($A106,'2020-2021'!$B$4:$B$23,'2020-2021'!E$4:E$23)</f>
        <v>50</v>
      </c>
      <c r="E106">
        <f>_xlfn.XLOOKUP($A106,'2020-2021'!$B$4:$B$23,'2020-2021'!F$4:F$23)</f>
        <v>18</v>
      </c>
      <c r="F106">
        <f>_xlfn.XLOOKUP($A106,'2020-2021'!$B$4:$B$23,'2020-2021'!G$4:G$23)</f>
        <v>11</v>
      </c>
      <c r="G106">
        <f>_xlfn.XLOOKUP($A106,'2020-2021'!$B$4:$B$23,'2020-2021'!H$4:H$23)</f>
        <v>61</v>
      </c>
      <c r="H106">
        <f>_xlfn.XLOOKUP($A106,'2020-2021'!$B$4:$B$23,'2020-2021'!I$4:I$23)</f>
        <v>0</v>
      </c>
      <c r="I106">
        <f>_xlfn.XLOOKUP($A106,'2020-2021'!$B$4:$B$23,'2020-2021'!J$4:J$23)</f>
        <v>55.8</v>
      </c>
      <c r="J106">
        <f>_xlfn.XLOOKUP($A106,'2020-2021'!$B$4:$B$23,'2020-2021'!K$4:K$23)</f>
        <v>46</v>
      </c>
      <c r="K106">
        <f>_xlfn.XLOOKUP($A106,'2020-2021'!$B$4:$B$23,'2020-2021'!L$4:L$23)</f>
        <v>12.200000000000003</v>
      </c>
      <c r="L106">
        <f>_xlfn.XLOOKUP($A106,'2020-2021'!$B$4:$B$23,'2020-2021'!M$4:M$23)</f>
        <v>473</v>
      </c>
      <c r="M106">
        <f>_xlfn.XLOOKUP($A106,'2020-2021'!$B$4:$B$23,'2020-2021'!N$4:N$23)</f>
        <v>170</v>
      </c>
      <c r="N106">
        <f>_xlfn.XLOOKUP($A106,'2020-2021'!$B$4:$B$23,'2020-2021'!O$4:O$23)</f>
        <v>10</v>
      </c>
      <c r="O106">
        <f>_xlfn.XLOOKUP($A106,'2020-2021'!$B$4:$B$23,'2020-2021'!P$4:P$23)</f>
        <v>7</v>
      </c>
      <c r="P106">
        <f>_xlfn.XLOOKUP($A106,'2020-2021'!$B$4:$B$23,'2020-2021'!Q$4:Q$23)</f>
        <v>56</v>
      </c>
      <c r="Q106">
        <f>_xlfn.XLOOKUP($A106,'2020-2021'!$B$4:$B$23,'2020-2021'!R$4:R$23)</f>
        <v>3</v>
      </c>
      <c r="R106">
        <f>_xlfn.XLOOKUP($A106,'2020-2021'!$B$4:$B$23,'2020-2021'!S$4:S$23)</f>
        <v>4</v>
      </c>
      <c r="S106">
        <f>_xlfn.XLOOKUP($A106,'2020-2021'!$B$4:$B$23,'2020-2021'!T$4:T$23)</f>
        <v>71</v>
      </c>
      <c r="T106">
        <f>_xlfn.XLOOKUP($A106,'2020-2021'!$B$4:$B$23,'2020-2021'!U$4:U$23)</f>
        <v>2</v>
      </c>
      <c r="U106">
        <f>_xlfn.XLOOKUP($A106,'2020-2021'!$B$4:$B$23,'2020-2021'!V$4:V$23)</f>
        <v>4</v>
      </c>
      <c r="V106">
        <f>_xlfn.XLOOKUP($A106,'2020-2021'!$B$4:$B$23,'2020-2021'!W$4:W$23)</f>
        <v>88</v>
      </c>
      <c r="W106">
        <f>_xlfn.XLOOKUP($A106,'2020-2021'!$B$4:$B$23,'2020-2021'!X$4:X$23)</f>
        <v>685</v>
      </c>
      <c r="X106">
        <f>_xlfn.XLOOKUP($A106,'2020-2021'!$B$4:$B$23,'2020-2021'!Y$4:Y$23)</f>
        <v>681</v>
      </c>
      <c r="Y106">
        <f>_xlfn.XLOOKUP($A106,'2020-2021'!$B$4:$B$23,'2020-2021'!Z$4:Z$23)</f>
        <v>413</v>
      </c>
      <c r="Z106">
        <f>_xlfn.XLOOKUP($A106,'2020-2021'!$B$4:$B$23,'2020-2021'!AA$4:AA$23)</f>
        <v>17014</v>
      </c>
      <c r="AA106">
        <f>_xlfn.XLOOKUP($A106,'2020-2021'!$B$4:$B$23,'2020-2021'!AB$4:AB$23)</f>
        <v>35</v>
      </c>
      <c r="AB106">
        <f>_xlfn.XLOOKUP($A106,'2020-2021'!$B$4:$B$23,'2020-2021'!AC$4:AC$23)</f>
        <v>2955</v>
      </c>
      <c r="AC106">
        <f>_xlfn.XLOOKUP($A106,'2020-2021'!$B$4:$B$23,'2020-2021'!AD$4:AD$23)</f>
        <v>649</v>
      </c>
      <c r="AD106">
        <f>_xlfn.XLOOKUP($A106,'2020-2021'!$B$4:$B$23,'2020-2021'!AE$4:AE$23)</f>
        <v>212</v>
      </c>
      <c r="AE106">
        <f>_xlfn.XLOOKUP($A106,'2020-2021'!$B$4:$B$23,'2020-2021'!AF$4:AF$23)</f>
        <v>59.4</v>
      </c>
      <c r="AF106">
        <f>_xlfn.XLOOKUP($A106,'2020-2021'!$B$4:$B$23,'2020-2021'!AG$4:AG$23)</f>
        <v>53.77</v>
      </c>
      <c r="AG106">
        <f>_xlfn.XLOOKUP($A106,'2020-2021'!$B$4:$B$23,'2020-2021'!AH$4:AH$23)</f>
        <v>19</v>
      </c>
      <c r="AH106">
        <f>_xlfn.XLOOKUP($A106,'2020-2021'!$B$4:$B$23,'2020-2021'!AI$4:AI$23)</f>
        <v>18</v>
      </c>
      <c r="AI106">
        <f>_xlfn.XLOOKUP($A106,'2020-2021'!$B$4:$B$23,'2020-2021'!AJ$4:AJ$23)</f>
        <v>510.7</v>
      </c>
      <c r="AJ106">
        <f>_xlfn.XLOOKUP($A106,'2020-2021'!$B$4:$B$23,'2020-2021'!AK$4:AK$23)</f>
        <v>40</v>
      </c>
      <c r="AK106">
        <f>_xlfn.XLOOKUP($A106,'2020-2021'!$B$4:$B$23,'2020-2021'!AL$4:AL$23)</f>
        <v>12.7675</v>
      </c>
      <c r="AL106">
        <f>_xlfn.XLOOKUP($A106,'2020-2021'!$B$4:$B$23,'2020-2021'!AM$4:AM$23)</f>
        <v>421</v>
      </c>
      <c r="AM106">
        <f>_xlfn.XLOOKUP($A106,'2020-2021'!$B$4:$B$23,'2020-2021'!AN$4:AN$23)</f>
        <v>-0.1</v>
      </c>
      <c r="AN106">
        <f>_xlfn.XLOOKUP($A106,'2020-2021'!$B$4:$B$23,'2020-2021'!AO$4:AO$23)</f>
        <v>1</v>
      </c>
      <c r="AO106">
        <f>_xlfn.XLOOKUP($A106,'2020-2021'!$B$4:$B$23,'2020-2021'!AP$4:AP$23)</f>
        <v>0</v>
      </c>
      <c r="AP106">
        <f>_xlfn.XLOOKUP($A106,'2020-2021'!$B$4:$B$23,'2020-2021'!AQ$4:AQ$23)</f>
        <v>0</v>
      </c>
      <c r="AQ106">
        <f>_xlfn.XLOOKUP($A106,'2020-2021'!$B$4:$B$23,'2020-2021'!AR$4:AR$23)</f>
        <v>0</v>
      </c>
      <c r="AR106">
        <f>_xlfn.XLOOKUP($A106,'2020-2021'!$B$4:$B$23,'2020-2021'!AS$4:AS$23)</f>
        <v>0</v>
      </c>
      <c r="AS106" t="str">
        <f>_xlfn.XLOOKUP($A106,'2020-2021'!$B$4:$B$23,'2020-2021'!AT$4:AT$23)</f>
        <v>20/21</v>
      </c>
    </row>
    <row r="107" spans="1:45" x14ac:dyDescent="0.25">
      <c r="A107">
        <v>6</v>
      </c>
      <c r="B107" t="str">
        <f>_xlfn.XLOOKUP($A107,'2020-2021'!$B$4:$B$23,'2020-2021'!C$4:C$23)</f>
        <v>West Ham United</v>
      </c>
      <c r="C107">
        <f>_xlfn.XLOOKUP($A107,'2020-2021'!$B$4:$B$23,'2020-2021'!D$4:D$23)</f>
        <v>62</v>
      </c>
      <c r="D107">
        <f>_xlfn.XLOOKUP($A107,'2020-2021'!$B$4:$B$23,'2020-2021'!E$4:E$23)</f>
        <v>47</v>
      </c>
      <c r="E107">
        <f>_xlfn.XLOOKUP($A107,'2020-2021'!$B$4:$B$23,'2020-2021'!F$4:F$23)</f>
        <v>15</v>
      </c>
      <c r="F107">
        <f>_xlfn.XLOOKUP($A107,'2020-2021'!$B$4:$B$23,'2020-2021'!G$4:G$23)</f>
        <v>11</v>
      </c>
      <c r="G107">
        <f>_xlfn.XLOOKUP($A107,'2020-2021'!$B$4:$B$23,'2020-2021'!H$4:H$23)</f>
        <v>48</v>
      </c>
      <c r="H107">
        <f>_xlfn.XLOOKUP($A107,'2020-2021'!$B$4:$B$23,'2020-2021'!I$4:I$23)</f>
        <v>3</v>
      </c>
      <c r="I107">
        <f>_xlfn.XLOOKUP($A107,'2020-2021'!$B$4:$B$23,'2020-2021'!J$4:J$23)</f>
        <v>55.4</v>
      </c>
      <c r="J107">
        <f>_xlfn.XLOOKUP($A107,'2020-2021'!$B$4:$B$23,'2020-2021'!K$4:K$23)</f>
        <v>48.7</v>
      </c>
      <c r="K107">
        <f>_xlfn.XLOOKUP($A107,'2020-2021'!$B$4:$B$23,'2020-2021'!L$4:L$23)</f>
        <v>6.6000000000000014</v>
      </c>
      <c r="L107">
        <f>_xlfn.XLOOKUP($A107,'2020-2021'!$B$4:$B$23,'2020-2021'!M$4:M$23)</f>
        <v>464</v>
      </c>
      <c r="M107">
        <f>_xlfn.XLOOKUP($A107,'2020-2021'!$B$4:$B$23,'2020-2021'!N$4:N$23)</f>
        <v>158</v>
      </c>
      <c r="N107">
        <f>_xlfn.XLOOKUP($A107,'2020-2021'!$B$4:$B$23,'2020-2021'!O$4:O$23)</f>
        <v>2</v>
      </c>
      <c r="O107">
        <f>_xlfn.XLOOKUP($A107,'2020-2021'!$B$4:$B$23,'2020-2021'!P$4:P$23)</f>
        <v>15</v>
      </c>
      <c r="P107">
        <f>_xlfn.XLOOKUP($A107,'2020-2021'!$B$4:$B$23,'2020-2021'!Q$4:Q$23)</f>
        <v>59</v>
      </c>
      <c r="Q107">
        <f>_xlfn.XLOOKUP($A107,'2020-2021'!$B$4:$B$23,'2020-2021'!R$4:R$23)</f>
        <v>3</v>
      </c>
      <c r="R107">
        <f>_xlfn.XLOOKUP($A107,'2020-2021'!$B$4:$B$23,'2020-2021'!S$4:S$23)</f>
        <v>6</v>
      </c>
      <c r="S107">
        <f>_xlfn.XLOOKUP($A107,'2020-2021'!$B$4:$B$23,'2020-2021'!T$4:T$23)</f>
        <v>74</v>
      </c>
      <c r="T107">
        <f>_xlfn.XLOOKUP($A107,'2020-2021'!$B$4:$B$23,'2020-2021'!U$4:U$23)</f>
        <v>4</v>
      </c>
      <c r="U107">
        <f>_xlfn.XLOOKUP($A107,'2020-2021'!$B$4:$B$23,'2020-2021'!V$4:V$23)</f>
        <v>5</v>
      </c>
      <c r="V107">
        <f>_xlfn.XLOOKUP($A107,'2020-2021'!$B$4:$B$23,'2020-2021'!W$4:W$23)</f>
        <v>103</v>
      </c>
      <c r="W107">
        <f>_xlfn.XLOOKUP($A107,'2020-2021'!$B$4:$B$23,'2020-2021'!X$4:X$23)</f>
        <v>779</v>
      </c>
      <c r="X107">
        <f>_xlfn.XLOOKUP($A107,'2020-2021'!$B$4:$B$23,'2020-2021'!Y$4:Y$23)</f>
        <v>514</v>
      </c>
      <c r="Y107">
        <f>_xlfn.XLOOKUP($A107,'2020-2021'!$B$4:$B$23,'2020-2021'!Z$4:Z$23)</f>
        <v>375</v>
      </c>
      <c r="Z107">
        <f>_xlfn.XLOOKUP($A107,'2020-2021'!$B$4:$B$23,'2020-2021'!AA$4:AA$23)</f>
        <v>12725</v>
      </c>
      <c r="AA107">
        <f>_xlfn.XLOOKUP($A107,'2020-2021'!$B$4:$B$23,'2020-2021'!AB$4:AB$23)</f>
        <v>15</v>
      </c>
      <c r="AB107">
        <f>_xlfn.XLOOKUP($A107,'2020-2021'!$B$4:$B$23,'2020-2021'!AC$4:AC$23)</f>
        <v>2230</v>
      </c>
      <c r="AC107">
        <f>_xlfn.XLOOKUP($A107,'2020-2021'!$B$4:$B$23,'2020-2021'!AD$4:AD$23)</f>
        <v>775</v>
      </c>
      <c r="AD107">
        <f>_xlfn.XLOOKUP($A107,'2020-2021'!$B$4:$B$23,'2020-2021'!AE$4:AE$23)</f>
        <v>167</v>
      </c>
      <c r="AE107">
        <f>_xlfn.XLOOKUP($A107,'2020-2021'!$B$4:$B$23,'2020-2021'!AF$4:AF$23)</f>
        <v>54.7</v>
      </c>
      <c r="AF107">
        <f>_xlfn.XLOOKUP($A107,'2020-2021'!$B$4:$B$23,'2020-2021'!AG$4:AG$23)</f>
        <v>45.41</v>
      </c>
      <c r="AG107">
        <f>_xlfn.XLOOKUP($A107,'2020-2021'!$B$4:$B$23,'2020-2021'!AH$4:AH$23)</f>
        <v>16</v>
      </c>
      <c r="AH107">
        <f>_xlfn.XLOOKUP($A107,'2020-2021'!$B$4:$B$23,'2020-2021'!AI$4:AI$23)</f>
        <v>17</v>
      </c>
      <c r="AI107">
        <f>_xlfn.XLOOKUP($A107,'2020-2021'!$B$4:$B$23,'2020-2021'!AJ$4:AJ$23)</f>
        <v>334.9</v>
      </c>
      <c r="AJ107">
        <f>_xlfn.XLOOKUP($A107,'2020-2021'!$B$4:$B$23,'2020-2021'!AK$4:AK$23)</f>
        <v>39</v>
      </c>
      <c r="AK107">
        <f>_xlfn.XLOOKUP($A107,'2020-2021'!$B$4:$B$23,'2020-2021'!AL$4:AL$23)</f>
        <v>8.5871794871794869</v>
      </c>
      <c r="AL107">
        <f>_xlfn.XLOOKUP($A107,'2020-2021'!$B$4:$B$23,'2020-2021'!AM$4:AM$23)</f>
        <v>632</v>
      </c>
      <c r="AM107">
        <f>_xlfn.XLOOKUP($A107,'2020-2021'!$B$4:$B$23,'2020-2021'!AN$4:AN$23)</f>
        <v>0.05</v>
      </c>
      <c r="AN107">
        <f>_xlfn.XLOOKUP($A107,'2020-2021'!$B$4:$B$23,'2020-2021'!AO$4:AO$23)</f>
        <v>0</v>
      </c>
      <c r="AO107">
        <f>_xlfn.XLOOKUP($A107,'2020-2021'!$B$4:$B$23,'2020-2021'!AP$4:AP$23)</f>
        <v>0</v>
      </c>
      <c r="AP107">
        <f>_xlfn.XLOOKUP($A107,'2020-2021'!$B$4:$B$23,'2020-2021'!AQ$4:AQ$23)</f>
        <v>0</v>
      </c>
      <c r="AQ107">
        <f>_xlfn.XLOOKUP($A107,'2020-2021'!$B$4:$B$23,'2020-2021'!AR$4:AR$23)</f>
        <v>0</v>
      </c>
      <c r="AR107">
        <f>_xlfn.XLOOKUP($A107,'2020-2021'!$B$4:$B$23,'2020-2021'!AS$4:AS$23)</f>
        <v>0</v>
      </c>
      <c r="AS107" t="str">
        <f>_xlfn.XLOOKUP($A107,'2020-2021'!$B$4:$B$23,'2020-2021'!AT$4:AT$23)</f>
        <v>20/21</v>
      </c>
    </row>
    <row r="108" spans="1:45" x14ac:dyDescent="0.25">
      <c r="A108">
        <v>7</v>
      </c>
      <c r="B108" t="str">
        <f>_xlfn.XLOOKUP($A108,'2020-2021'!$B$4:$B$23,'2020-2021'!C$4:C$23)</f>
        <v>Tottenham Hotspur</v>
      </c>
      <c r="C108">
        <f>_xlfn.XLOOKUP($A108,'2020-2021'!$B$4:$B$23,'2020-2021'!D$4:D$23)</f>
        <v>68</v>
      </c>
      <c r="D108">
        <f>_xlfn.XLOOKUP($A108,'2020-2021'!$B$4:$B$23,'2020-2021'!E$4:E$23)</f>
        <v>45</v>
      </c>
      <c r="E108">
        <f>_xlfn.XLOOKUP($A108,'2020-2021'!$B$4:$B$23,'2020-2021'!F$4:F$23)</f>
        <v>23</v>
      </c>
      <c r="F108">
        <f>_xlfn.XLOOKUP($A108,'2020-2021'!$B$4:$B$23,'2020-2021'!G$4:G$23)</f>
        <v>12</v>
      </c>
      <c r="G108">
        <f>_xlfn.XLOOKUP($A108,'2020-2021'!$B$4:$B$23,'2020-2021'!H$4:H$23)</f>
        <v>53</v>
      </c>
      <c r="H108">
        <f>_xlfn.XLOOKUP($A108,'2020-2021'!$B$4:$B$23,'2020-2021'!I$4:I$23)</f>
        <v>2</v>
      </c>
      <c r="I108">
        <f>_xlfn.XLOOKUP($A108,'2020-2021'!$B$4:$B$23,'2020-2021'!J$4:J$23)</f>
        <v>53.1</v>
      </c>
      <c r="J108">
        <f>_xlfn.XLOOKUP($A108,'2020-2021'!$B$4:$B$23,'2020-2021'!K$4:K$23)</f>
        <v>49.1</v>
      </c>
      <c r="K108">
        <f>_xlfn.XLOOKUP($A108,'2020-2021'!$B$4:$B$23,'2020-2021'!L$4:L$23)</f>
        <v>14.899999999999999</v>
      </c>
      <c r="L108">
        <f>_xlfn.XLOOKUP($A108,'2020-2021'!$B$4:$B$23,'2020-2021'!M$4:M$23)</f>
        <v>438</v>
      </c>
      <c r="M108">
        <f>_xlfn.XLOOKUP($A108,'2020-2021'!$B$4:$B$23,'2020-2021'!N$4:N$23)</f>
        <v>167</v>
      </c>
      <c r="N108">
        <f>_xlfn.XLOOKUP($A108,'2020-2021'!$B$4:$B$23,'2020-2021'!O$4:O$23)</f>
        <v>5</v>
      </c>
      <c r="O108">
        <f>_xlfn.XLOOKUP($A108,'2020-2021'!$B$4:$B$23,'2020-2021'!P$4:P$23)</f>
        <v>10</v>
      </c>
      <c r="P108">
        <f>_xlfn.XLOOKUP($A108,'2020-2021'!$B$4:$B$23,'2020-2021'!Q$4:Q$23)</f>
        <v>58</v>
      </c>
      <c r="Q108">
        <f>_xlfn.XLOOKUP($A108,'2020-2021'!$B$4:$B$23,'2020-2021'!R$4:R$23)</f>
        <v>10</v>
      </c>
      <c r="R108">
        <f>_xlfn.XLOOKUP($A108,'2020-2021'!$B$4:$B$23,'2020-2021'!S$4:S$23)</f>
        <v>5</v>
      </c>
      <c r="S108">
        <f>_xlfn.XLOOKUP($A108,'2020-2021'!$B$4:$B$23,'2020-2021'!T$4:T$23)</f>
        <v>45</v>
      </c>
      <c r="T108">
        <f>_xlfn.XLOOKUP($A108,'2020-2021'!$B$4:$B$23,'2020-2021'!U$4:U$23)</f>
        <v>3</v>
      </c>
      <c r="U108">
        <f>_xlfn.XLOOKUP($A108,'2020-2021'!$B$4:$B$23,'2020-2021'!V$4:V$23)</f>
        <v>10</v>
      </c>
      <c r="V108">
        <f>_xlfn.XLOOKUP($A108,'2020-2021'!$B$4:$B$23,'2020-2021'!W$4:W$23)</f>
        <v>113</v>
      </c>
      <c r="W108">
        <f>_xlfn.XLOOKUP($A108,'2020-2021'!$B$4:$B$23,'2020-2021'!X$4:X$23)</f>
        <v>795</v>
      </c>
      <c r="X108">
        <f>_xlfn.XLOOKUP($A108,'2020-2021'!$B$4:$B$23,'2020-2021'!Y$4:Y$23)</f>
        <v>636</v>
      </c>
      <c r="Y108">
        <f>_xlfn.XLOOKUP($A108,'2020-2021'!$B$4:$B$23,'2020-2021'!Z$4:Z$23)</f>
        <v>440</v>
      </c>
      <c r="Z108">
        <f>_xlfn.XLOOKUP($A108,'2020-2021'!$B$4:$B$23,'2020-2021'!AA$4:AA$23)</f>
        <v>16508</v>
      </c>
      <c r="AA108">
        <f>_xlfn.XLOOKUP($A108,'2020-2021'!$B$4:$B$23,'2020-2021'!AB$4:AB$23)</f>
        <v>28</v>
      </c>
      <c r="AB108">
        <f>_xlfn.XLOOKUP($A108,'2020-2021'!$B$4:$B$23,'2020-2021'!AC$4:AC$23)</f>
        <v>2850</v>
      </c>
      <c r="AC108">
        <f>_xlfn.XLOOKUP($A108,'2020-2021'!$B$4:$B$23,'2020-2021'!AD$4:AD$23)</f>
        <v>526</v>
      </c>
      <c r="AD108">
        <f>_xlfn.XLOOKUP($A108,'2020-2021'!$B$4:$B$23,'2020-2021'!AE$4:AE$23)</f>
        <v>168</v>
      </c>
      <c r="AE108">
        <f>_xlfn.XLOOKUP($A108,'2020-2021'!$B$4:$B$23,'2020-2021'!AF$4:AF$23)</f>
        <v>110.5</v>
      </c>
      <c r="AF108">
        <f>_xlfn.XLOOKUP($A108,'2020-2021'!$B$4:$B$23,'2020-2021'!AG$4:AG$23)</f>
        <v>13.3</v>
      </c>
      <c r="AG108">
        <f>_xlfn.XLOOKUP($A108,'2020-2021'!$B$4:$B$23,'2020-2021'!AH$4:AH$23)</f>
        <v>15</v>
      </c>
      <c r="AH108">
        <f>_xlfn.XLOOKUP($A108,'2020-2021'!$B$4:$B$23,'2020-2021'!AI$4:AI$23)</f>
        <v>11</v>
      </c>
      <c r="AI108">
        <f>_xlfn.XLOOKUP($A108,'2020-2021'!$B$4:$B$23,'2020-2021'!AJ$4:AJ$23)</f>
        <v>703.5</v>
      </c>
      <c r="AJ108">
        <f>_xlfn.XLOOKUP($A108,'2020-2021'!$B$4:$B$23,'2020-2021'!AK$4:AK$23)</f>
        <v>41</v>
      </c>
      <c r="AK108">
        <f>_xlfn.XLOOKUP($A108,'2020-2021'!$B$4:$B$23,'2020-2021'!AL$4:AL$23)</f>
        <v>17.158536585365855</v>
      </c>
      <c r="AL108">
        <f>_xlfn.XLOOKUP($A108,'2020-2021'!$B$4:$B$23,'2020-2021'!AM$4:AM$23)</f>
        <v>632</v>
      </c>
      <c r="AM108">
        <f>_xlfn.XLOOKUP($A108,'2020-2021'!$B$4:$B$23,'2020-2021'!AN$4:AN$23)</f>
        <v>7.0000000000000007E-2</v>
      </c>
      <c r="AN108">
        <f>_xlfn.XLOOKUP($A108,'2020-2021'!$B$4:$B$23,'2020-2021'!AO$4:AO$23)</f>
        <v>1</v>
      </c>
      <c r="AO108">
        <f>_xlfn.XLOOKUP($A108,'2020-2021'!$B$4:$B$23,'2020-2021'!AP$4:AP$23)</f>
        <v>0</v>
      </c>
      <c r="AP108">
        <f>_xlfn.XLOOKUP($A108,'2020-2021'!$B$4:$B$23,'2020-2021'!AQ$4:AQ$23)</f>
        <v>0</v>
      </c>
      <c r="AQ108">
        <f>_xlfn.XLOOKUP($A108,'2020-2021'!$B$4:$B$23,'2020-2021'!AR$4:AR$23)</f>
        <v>0</v>
      </c>
      <c r="AR108">
        <f>_xlfn.XLOOKUP($A108,'2020-2021'!$B$4:$B$23,'2020-2021'!AS$4:AS$23)</f>
        <v>1</v>
      </c>
      <c r="AS108" t="str">
        <f>_xlfn.XLOOKUP($A108,'2020-2021'!$B$4:$B$23,'2020-2021'!AT$4:AT$23)</f>
        <v>20/21</v>
      </c>
    </row>
    <row r="109" spans="1:45" x14ac:dyDescent="0.25">
      <c r="A109">
        <v>8</v>
      </c>
      <c r="B109" t="str">
        <f>_xlfn.XLOOKUP($A109,'2020-2021'!$B$4:$B$23,'2020-2021'!C$4:C$23)</f>
        <v>Arsenal</v>
      </c>
      <c r="C109">
        <f>_xlfn.XLOOKUP($A109,'2020-2021'!$B$4:$B$23,'2020-2021'!D$4:D$23)</f>
        <v>55</v>
      </c>
      <c r="D109">
        <f>_xlfn.XLOOKUP($A109,'2020-2021'!$B$4:$B$23,'2020-2021'!E$4:E$23)</f>
        <v>39</v>
      </c>
      <c r="E109">
        <f>_xlfn.XLOOKUP($A109,'2020-2021'!$B$4:$B$23,'2020-2021'!F$4:F$23)</f>
        <v>16</v>
      </c>
      <c r="F109">
        <f>_xlfn.XLOOKUP($A109,'2020-2021'!$B$4:$B$23,'2020-2021'!G$4:G$23)</f>
        <v>12</v>
      </c>
      <c r="G109">
        <f>_xlfn.XLOOKUP($A109,'2020-2021'!$B$4:$B$23,'2020-2021'!H$4:H$23)</f>
        <v>47</v>
      </c>
      <c r="H109">
        <f>_xlfn.XLOOKUP($A109,'2020-2021'!$B$4:$B$23,'2020-2021'!I$4:I$23)</f>
        <v>5</v>
      </c>
      <c r="I109">
        <f>_xlfn.XLOOKUP($A109,'2020-2021'!$B$4:$B$23,'2020-2021'!J$4:J$23)</f>
        <v>51.8</v>
      </c>
      <c r="J109">
        <f>_xlfn.XLOOKUP($A109,'2020-2021'!$B$4:$B$23,'2020-2021'!K$4:K$23)</f>
        <v>43</v>
      </c>
      <c r="K109">
        <f>_xlfn.XLOOKUP($A109,'2020-2021'!$B$4:$B$23,'2020-2021'!L$4:L$23)</f>
        <v>3.2000000000000028</v>
      </c>
      <c r="L109">
        <f>_xlfn.XLOOKUP($A109,'2020-2021'!$B$4:$B$23,'2020-2021'!M$4:M$23)</f>
        <v>453</v>
      </c>
      <c r="M109">
        <f>_xlfn.XLOOKUP($A109,'2020-2021'!$B$4:$B$23,'2020-2021'!N$4:N$23)</f>
        <v>140</v>
      </c>
      <c r="N109">
        <f>_xlfn.XLOOKUP($A109,'2020-2021'!$B$4:$B$23,'2020-2021'!O$4:O$23)</f>
        <v>6</v>
      </c>
      <c r="O109">
        <f>_xlfn.XLOOKUP($A109,'2020-2021'!$B$4:$B$23,'2020-2021'!P$4:P$23)</f>
        <v>7</v>
      </c>
      <c r="P109">
        <f>_xlfn.XLOOKUP($A109,'2020-2021'!$B$4:$B$23,'2020-2021'!Q$4:Q$23)</f>
        <v>52</v>
      </c>
      <c r="Q109">
        <f>_xlfn.XLOOKUP($A109,'2020-2021'!$B$4:$B$23,'2020-2021'!R$4:R$23)</f>
        <v>3</v>
      </c>
      <c r="R109">
        <f>_xlfn.XLOOKUP($A109,'2020-2021'!$B$4:$B$23,'2020-2021'!S$4:S$23)</f>
        <v>1</v>
      </c>
      <c r="S109">
        <f>_xlfn.XLOOKUP($A109,'2020-2021'!$B$4:$B$23,'2020-2021'!T$4:T$23)</f>
        <v>61</v>
      </c>
      <c r="T109">
        <f>_xlfn.XLOOKUP($A109,'2020-2021'!$B$4:$B$23,'2020-2021'!U$4:U$23)</f>
        <v>4</v>
      </c>
      <c r="U109">
        <f>_xlfn.XLOOKUP($A109,'2020-2021'!$B$4:$B$23,'2020-2021'!V$4:V$23)</f>
        <v>3</v>
      </c>
      <c r="V109">
        <f>_xlfn.XLOOKUP($A109,'2020-2021'!$B$4:$B$23,'2020-2021'!W$4:W$23)</f>
        <v>93</v>
      </c>
      <c r="W109">
        <f>_xlfn.XLOOKUP($A109,'2020-2021'!$B$4:$B$23,'2020-2021'!X$4:X$23)</f>
        <v>643</v>
      </c>
      <c r="X109">
        <f>_xlfn.XLOOKUP($A109,'2020-2021'!$B$4:$B$23,'2020-2021'!Y$4:Y$23)</f>
        <v>456</v>
      </c>
      <c r="Y109">
        <f>_xlfn.XLOOKUP($A109,'2020-2021'!$B$4:$B$23,'2020-2021'!Z$4:Z$23)</f>
        <v>346</v>
      </c>
      <c r="Z109">
        <f>_xlfn.XLOOKUP($A109,'2020-2021'!$B$4:$B$23,'2020-2021'!AA$4:AA$23)</f>
        <v>18041</v>
      </c>
      <c r="AA109">
        <f>_xlfn.XLOOKUP($A109,'2020-2021'!$B$4:$B$23,'2020-2021'!AB$4:AB$23)</f>
        <v>34</v>
      </c>
      <c r="AB109">
        <f>_xlfn.XLOOKUP($A109,'2020-2021'!$B$4:$B$23,'2020-2021'!AC$4:AC$23)</f>
        <v>3274</v>
      </c>
      <c r="AC109">
        <f>_xlfn.XLOOKUP($A109,'2020-2021'!$B$4:$B$23,'2020-2021'!AD$4:AD$23)</f>
        <v>751</v>
      </c>
      <c r="AD109">
        <f>_xlfn.XLOOKUP($A109,'2020-2021'!$B$4:$B$23,'2020-2021'!AE$4:AE$23)</f>
        <v>207</v>
      </c>
      <c r="AE109">
        <f>_xlfn.XLOOKUP($A109,'2020-2021'!$B$4:$B$23,'2020-2021'!AF$4:AF$23)</f>
        <v>86</v>
      </c>
      <c r="AF109">
        <f>_xlfn.XLOOKUP($A109,'2020-2021'!$B$4:$B$23,'2020-2021'!AG$4:AG$23)</f>
        <v>19.149999999999999</v>
      </c>
      <c r="AG109">
        <f>_xlfn.XLOOKUP($A109,'2020-2021'!$B$4:$B$23,'2020-2021'!AH$4:AH$23)</f>
        <v>16</v>
      </c>
      <c r="AH109">
        <f>_xlfn.XLOOKUP($A109,'2020-2021'!$B$4:$B$23,'2020-2021'!AI$4:AI$23)</f>
        <v>16</v>
      </c>
      <c r="AI109">
        <f>_xlfn.XLOOKUP($A109,'2020-2021'!$B$4:$B$23,'2020-2021'!AJ$4:AJ$23)</f>
        <v>619.25</v>
      </c>
      <c r="AJ109">
        <f>_xlfn.XLOOKUP($A109,'2020-2021'!$B$4:$B$23,'2020-2021'!AK$4:AK$23)</f>
        <v>42</v>
      </c>
      <c r="AK109">
        <f>_xlfn.XLOOKUP($A109,'2020-2021'!$B$4:$B$23,'2020-2021'!AL$4:AL$23)</f>
        <v>14.744047619047619</v>
      </c>
      <c r="AL109">
        <f>_xlfn.XLOOKUP($A109,'2020-2021'!$B$4:$B$23,'2020-2021'!AM$4:AM$23)</f>
        <v>632</v>
      </c>
      <c r="AM109">
        <f>_xlfn.XLOOKUP($A109,'2020-2021'!$B$4:$B$23,'2020-2021'!AN$4:AN$23)</f>
        <v>-0.11</v>
      </c>
      <c r="AN109">
        <f>_xlfn.XLOOKUP($A109,'2020-2021'!$B$4:$B$23,'2020-2021'!AO$4:AO$23)</f>
        <v>1</v>
      </c>
      <c r="AO109">
        <f>_xlfn.XLOOKUP($A109,'2020-2021'!$B$4:$B$23,'2020-2021'!AP$4:AP$23)</f>
        <v>0</v>
      </c>
      <c r="AP109">
        <f>_xlfn.XLOOKUP($A109,'2020-2021'!$B$4:$B$23,'2020-2021'!AQ$4:AQ$23)</f>
        <v>0</v>
      </c>
      <c r="AQ109">
        <f>_xlfn.XLOOKUP($A109,'2020-2021'!$B$4:$B$23,'2020-2021'!AR$4:AR$23)</f>
        <v>0</v>
      </c>
      <c r="AR109">
        <f>_xlfn.XLOOKUP($A109,'2020-2021'!$B$4:$B$23,'2020-2021'!AS$4:AS$23)</f>
        <v>1</v>
      </c>
      <c r="AS109" t="str">
        <f>_xlfn.XLOOKUP($A109,'2020-2021'!$B$4:$B$23,'2020-2021'!AT$4:AT$23)</f>
        <v>20/21</v>
      </c>
    </row>
    <row r="110" spans="1:45" x14ac:dyDescent="0.25">
      <c r="A110">
        <v>9</v>
      </c>
      <c r="B110" t="str">
        <f>_xlfn.XLOOKUP($A110,'2020-2021'!$B$4:$B$23,'2020-2021'!C$4:C$23)</f>
        <v>Leeds United</v>
      </c>
      <c r="C110">
        <f>_xlfn.XLOOKUP($A110,'2020-2021'!$B$4:$B$23,'2020-2021'!D$4:D$23)</f>
        <v>62</v>
      </c>
      <c r="D110">
        <f>_xlfn.XLOOKUP($A110,'2020-2021'!$B$4:$B$23,'2020-2021'!E$4:E$23)</f>
        <v>54</v>
      </c>
      <c r="E110">
        <f>_xlfn.XLOOKUP($A110,'2020-2021'!$B$4:$B$23,'2020-2021'!F$4:F$23)</f>
        <v>8</v>
      </c>
      <c r="F110">
        <f>_xlfn.XLOOKUP($A110,'2020-2021'!$B$4:$B$23,'2020-2021'!G$4:G$23)</f>
        <v>12</v>
      </c>
      <c r="G110">
        <f>_xlfn.XLOOKUP($A110,'2020-2021'!$B$4:$B$23,'2020-2021'!H$4:H$23)</f>
        <v>61</v>
      </c>
      <c r="H110">
        <f>_xlfn.XLOOKUP($A110,'2020-2021'!$B$4:$B$23,'2020-2021'!I$4:I$23)</f>
        <v>1</v>
      </c>
      <c r="I110">
        <f>_xlfn.XLOOKUP($A110,'2020-2021'!$B$4:$B$23,'2020-2021'!J$4:J$23)</f>
        <v>55.6</v>
      </c>
      <c r="J110">
        <f>_xlfn.XLOOKUP($A110,'2020-2021'!$B$4:$B$23,'2020-2021'!K$4:K$23)</f>
        <v>57.9</v>
      </c>
      <c r="K110">
        <f>_xlfn.XLOOKUP($A110,'2020-2021'!$B$4:$B$23,'2020-2021'!L$4:L$23)</f>
        <v>6.3999999999999986</v>
      </c>
      <c r="L110">
        <f>_xlfn.XLOOKUP($A110,'2020-2021'!$B$4:$B$23,'2020-2021'!M$4:M$23)</f>
        <v>518</v>
      </c>
      <c r="M110">
        <f>_xlfn.XLOOKUP($A110,'2020-2021'!$B$4:$B$23,'2020-2021'!N$4:N$23)</f>
        <v>193</v>
      </c>
      <c r="N110">
        <f>_xlfn.XLOOKUP($A110,'2020-2021'!$B$4:$B$23,'2020-2021'!O$4:O$23)</f>
        <v>4</v>
      </c>
      <c r="O110">
        <f>_xlfn.XLOOKUP($A110,'2020-2021'!$B$4:$B$23,'2020-2021'!P$4:P$23)</f>
        <v>9</v>
      </c>
      <c r="P110">
        <f>_xlfn.XLOOKUP($A110,'2020-2021'!$B$4:$B$23,'2020-2021'!Q$4:Q$23)</f>
        <v>48</v>
      </c>
      <c r="Q110">
        <f>_xlfn.XLOOKUP($A110,'2020-2021'!$B$4:$B$23,'2020-2021'!R$4:R$23)</f>
        <v>14</v>
      </c>
      <c r="R110">
        <f>_xlfn.XLOOKUP($A110,'2020-2021'!$B$4:$B$23,'2020-2021'!S$4:S$23)</f>
        <v>7</v>
      </c>
      <c r="S110">
        <f>_xlfn.XLOOKUP($A110,'2020-2021'!$B$4:$B$23,'2020-2021'!T$4:T$23)</f>
        <v>76</v>
      </c>
      <c r="T110">
        <f>_xlfn.XLOOKUP($A110,'2020-2021'!$B$4:$B$23,'2020-2021'!U$4:U$23)</f>
        <v>2</v>
      </c>
      <c r="U110">
        <f>_xlfn.XLOOKUP($A110,'2020-2021'!$B$4:$B$23,'2020-2021'!V$4:V$23)</f>
        <v>9</v>
      </c>
      <c r="V110">
        <f>_xlfn.XLOOKUP($A110,'2020-2021'!$B$4:$B$23,'2020-2021'!W$4:W$23)</f>
        <v>145</v>
      </c>
      <c r="W110">
        <f>_xlfn.XLOOKUP($A110,'2020-2021'!$B$4:$B$23,'2020-2021'!X$4:X$23)</f>
        <v>646</v>
      </c>
      <c r="X110">
        <f>_xlfn.XLOOKUP($A110,'2020-2021'!$B$4:$B$23,'2020-2021'!Y$4:Y$23)</f>
        <v>740</v>
      </c>
      <c r="Y110">
        <f>_xlfn.XLOOKUP($A110,'2020-2021'!$B$4:$B$23,'2020-2021'!Z$4:Z$23)</f>
        <v>432</v>
      </c>
      <c r="Z110">
        <f>_xlfn.XLOOKUP($A110,'2020-2021'!$B$4:$B$23,'2020-2021'!AA$4:AA$23)</f>
        <v>16284</v>
      </c>
      <c r="AA110">
        <f>_xlfn.XLOOKUP($A110,'2020-2021'!$B$4:$B$23,'2020-2021'!AB$4:AB$23)</f>
        <v>27</v>
      </c>
      <c r="AB110">
        <f>_xlfn.XLOOKUP($A110,'2020-2021'!$B$4:$B$23,'2020-2021'!AC$4:AC$23)</f>
        <v>2666</v>
      </c>
      <c r="AC110">
        <f>_xlfn.XLOOKUP($A110,'2020-2021'!$B$4:$B$23,'2020-2021'!AD$4:AD$23)</f>
        <v>786</v>
      </c>
      <c r="AD110">
        <f>_xlfn.XLOOKUP($A110,'2020-2021'!$B$4:$B$23,'2020-2021'!AE$4:AE$23)</f>
        <v>229</v>
      </c>
      <c r="AE110">
        <f>_xlfn.XLOOKUP($A110,'2020-2021'!$B$4:$B$23,'2020-2021'!AF$4:AF$23)</f>
        <v>106.8</v>
      </c>
      <c r="AF110">
        <f>_xlfn.XLOOKUP($A110,'2020-2021'!$B$4:$B$23,'2020-2021'!AG$4:AG$23)</f>
        <v>0</v>
      </c>
      <c r="AG110">
        <f>_xlfn.XLOOKUP($A110,'2020-2021'!$B$4:$B$23,'2020-2021'!AH$4:AH$23)</f>
        <v>16</v>
      </c>
      <c r="AH110">
        <f>_xlfn.XLOOKUP($A110,'2020-2021'!$B$4:$B$23,'2020-2021'!AI$4:AI$23)</f>
        <v>17</v>
      </c>
      <c r="AI110">
        <f>_xlfn.XLOOKUP($A110,'2020-2021'!$B$4:$B$23,'2020-2021'!AJ$4:AJ$23)</f>
        <v>238.1</v>
      </c>
      <c r="AJ110">
        <f>_xlfn.XLOOKUP($A110,'2020-2021'!$B$4:$B$23,'2020-2021'!AK$4:AK$23)</f>
        <v>39</v>
      </c>
      <c r="AK110">
        <f>_xlfn.XLOOKUP($A110,'2020-2021'!$B$4:$B$23,'2020-2021'!AL$4:AL$23)</f>
        <v>6.1051282051282048</v>
      </c>
      <c r="AL110">
        <f>_xlfn.XLOOKUP($A110,'2020-2021'!$B$4:$B$23,'2020-2021'!AM$4:AM$23)</f>
        <v>421</v>
      </c>
      <c r="AM110">
        <f>_xlfn.XLOOKUP($A110,'2020-2021'!$B$4:$B$23,'2020-2021'!AN$4:AN$23)</f>
        <v>0.06</v>
      </c>
      <c r="AN110">
        <f>_xlfn.XLOOKUP($A110,'2020-2021'!$B$4:$B$23,'2020-2021'!AO$4:AO$23)</f>
        <v>0</v>
      </c>
      <c r="AO110">
        <f>_xlfn.XLOOKUP($A110,'2020-2021'!$B$4:$B$23,'2020-2021'!AP$4:AP$23)</f>
        <v>1</v>
      </c>
      <c r="AP110">
        <f>_xlfn.XLOOKUP($A110,'2020-2021'!$B$4:$B$23,'2020-2021'!AQ$4:AQ$23)</f>
        <v>0</v>
      </c>
      <c r="AQ110">
        <f>_xlfn.XLOOKUP($A110,'2020-2021'!$B$4:$B$23,'2020-2021'!AR$4:AR$23)</f>
        <v>0</v>
      </c>
      <c r="AR110">
        <f>_xlfn.XLOOKUP($A110,'2020-2021'!$B$4:$B$23,'2020-2021'!AS$4:AS$23)</f>
        <v>0</v>
      </c>
      <c r="AS110" t="str">
        <f>_xlfn.XLOOKUP($A110,'2020-2021'!$B$4:$B$23,'2020-2021'!AT$4:AT$23)</f>
        <v>20/21</v>
      </c>
    </row>
    <row r="111" spans="1:45" x14ac:dyDescent="0.25">
      <c r="A111">
        <v>10</v>
      </c>
      <c r="B111" t="str">
        <f>_xlfn.XLOOKUP($A111,'2020-2021'!$B$4:$B$23,'2020-2021'!C$4:C$23)</f>
        <v>Everton</v>
      </c>
      <c r="C111">
        <f>_xlfn.XLOOKUP($A111,'2020-2021'!$B$4:$B$23,'2020-2021'!D$4:D$23)</f>
        <v>47</v>
      </c>
      <c r="D111">
        <f>_xlfn.XLOOKUP($A111,'2020-2021'!$B$4:$B$23,'2020-2021'!E$4:E$23)</f>
        <v>48</v>
      </c>
      <c r="E111">
        <f>_xlfn.XLOOKUP($A111,'2020-2021'!$B$4:$B$23,'2020-2021'!F$4:F$23)</f>
        <v>-1</v>
      </c>
      <c r="F111">
        <f>_xlfn.XLOOKUP($A111,'2020-2021'!$B$4:$B$23,'2020-2021'!G$4:G$23)</f>
        <v>12</v>
      </c>
      <c r="G111">
        <f>_xlfn.XLOOKUP($A111,'2020-2021'!$B$4:$B$23,'2020-2021'!H$4:H$23)</f>
        <v>59</v>
      </c>
      <c r="H111">
        <f>_xlfn.XLOOKUP($A111,'2020-2021'!$B$4:$B$23,'2020-2021'!I$4:I$23)</f>
        <v>2</v>
      </c>
      <c r="I111">
        <f>_xlfn.XLOOKUP($A111,'2020-2021'!$B$4:$B$23,'2020-2021'!J$4:J$23)</f>
        <v>45.7</v>
      </c>
      <c r="J111">
        <f>_xlfn.XLOOKUP($A111,'2020-2021'!$B$4:$B$23,'2020-2021'!K$4:K$23)</f>
        <v>50.1</v>
      </c>
      <c r="K111">
        <f>_xlfn.XLOOKUP($A111,'2020-2021'!$B$4:$B$23,'2020-2021'!L$4:L$23)</f>
        <v>1.2999999999999972</v>
      </c>
      <c r="L111">
        <f>_xlfn.XLOOKUP($A111,'2020-2021'!$B$4:$B$23,'2020-2021'!M$4:M$23)</f>
        <v>395</v>
      </c>
      <c r="M111">
        <f>_xlfn.XLOOKUP($A111,'2020-2021'!$B$4:$B$23,'2020-2021'!N$4:N$23)</f>
        <v>143</v>
      </c>
      <c r="N111">
        <f>_xlfn.XLOOKUP($A111,'2020-2021'!$B$4:$B$23,'2020-2021'!O$4:O$23)</f>
        <v>4</v>
      </c>
      <c r="O111">
        <f>_xlfn.XLOOKUP($A111,'2020-2021'!$B$4:$B$23,'2020-2021'!P$4:P$23)</f>
        <v>15</v>
      </c>
      <c r="P111">
        <f>_xlfn.XLOOKUP($A111,'2020-2021'!$B$4:$B$23,'2020-2021'!Q$4:Q$23)</f>
        <v>44</v>
      </c>
      <c r="Q111">
        <f>_xlfn.XLOOKUP($A111,'2020-2021'!$B$4:$B$23,'2020-2021'!R$4:R$23)</f>
        <v>3</v>
      </c>
      <c r="R111">
        <f>_xlfn.XLOOKUP($A111,'2020-2021'!$B$4:$B$23,'2020-2021'!S$4:S$23)</f>
        <v>0</v>
      </c>
      <c r="S111">
        <f>_xlfn.XLOOKUP($A111,'2020-2021'!$B$4:$B$23,'2020-2021'!T$4:T$23)</f>
        <v>65</v>
      </c>
      <c r="T111">
        <f>_xlfn.XLOOKUP($A111,'2020-2021'!$B$4:$B$23,'2020-2021'!U$4:U$23)</f>
        <v>1</v>
      </c>
      <c r="U111">
        <f>_xlfn.XLOOKUP($A111,'2020-2021'!$B$4:$B$23,'2020-2021'!V$4:V$23)</f>
        <v>4</v>
      </c>
      <c r="V111">
        <f>_xlfn.XLOOKUP($A111,'2020-2021'!$B$4:$B$23,'2020-2021'!W$4:W$23)</f>
        <v>114</v>
      </c>
      <c r="W111">
        <f>_xlfn.XLOOKUP($A111,'2020-2021'!$B$4:$B$23,'2020-2021'!X$4:X$23)</f>
        <v>847</v>
      </c>
      <c r="X111">
        <f>_xlfn.XLOOKUP($A111,'2020-2021'!$B$4:$B$23,'2020-2021'!Y$4:Y$23)</f>
        <v>640</v>
      </c>
      <c r="Y111">
        <f>_xlfn.XLOOKUP($A111,'2020-2021'!$B$4:$B$23,'2020-2021'!Z$4:Z$23)</f>
        <v>386</v>
      </c>
      <c r="Z111">
        <f>_xlfn.XLOOKUP($A111,'2020-2021'!$B$4:$B$23,'2020-2021'!AA$4:AA$23)</f>
        <v>14792</v>
      </c>
      <c r="AA111">
        <f>_xlfn.XLOOKUP($A111,'2020-2021'!$B$4:$B$23,'2020-2021'!AB$4:AB$23)</f>
        <v>28</v>
      </c>
      <c r="AB111">
        <f>_xlfn.XLOOKUP($A111,'2020-2021'!$B$4:$B$23,'2020-2021'!AC$4:AC$23)</f>
        <v>2693</v>
      </c>
      <c r="AC111">
        <f>_xlfn.XLOOKUP($A111,'2020-2021'!$B$4:$B$23,'2020-2021'!AD$4:AD$23)</f>
        <v>662</v>
      </c>
      <c r="AD111">
        <f>_xlfn.XLOOKUP($A111,'2020-2021'!$B$4:$B$23,'2020-2021'!AE$4:AE$23)</f>
        <v>167</v>
      </c>
      <c r="AE111">
        <f>_xlfn.XLOOKUP($A111,'2020-2021'!$B$4:$B$23,'2020-2021'!AF$4:AF$23)</f>
        <v>73.37</v>
      </c>
      <c r="AF111">
        <f>_xlfn.XLOOKUP($A111,'2020-2021'!$B$4:$B$23,'2020-2021'!AG$4:AG$23)</f>
        <v>4.43</v>
      </c>
      <c r="AG111">
        <f>_xlfn.XLOOKUP($A111,'2020-2021'!$B$4:$B$23,'2020-2021'!AH$4:AH$23)</f>
        <v>20</v>
      </c>
      <c r="AH111">
        <f>_xlfn.XLOOKUP($A111,'2020-2021'!$B$4:$B$23,'2020-2021'!AI$4:AI$23)</f>
        <v>20</v>
      </c>
      <c r="AI111">
        <f>_xlfn.XLOOKUP($A111,'2020-2021'!$B$4:$B$23,'2020-2021'!AJ$4:AJ$23)</f>
        <v>511.2</v>
      </c>
      <c r="AJ111">
        <f>_xlfn.XLOOKUP($A111,'2020-2021'!$B$4:$B$23,'2020-2021'!AK$4:AK$23)</f>
        <v>44</v>
      </c>
      <c r="AK111">
        <f>_xlfn.XLOOKUP($A111,'2020-2021'!$B$4:$B$23,'2020-2021'!AL$4:AL$23)</f>
        <v>11.618181818181817</v>
      </c>
      <c r="AL111">
        <f>_xlfn.XLOOKUP($A111,'2020-2021'!$B$4:$B$23,'2020-2021'!AM$4:AM$23)</f>
        <v>368</v>
      </c>
      <c r="AM111">
        <f>_xlfn.XLOOKUP($A111,'2020-2021'!$B$4:$B$23,'2020-2021'!AN$4:AN$23)</f>
        <v>-0.08</v>
      </c>
      <c r="AN111">
        <f>_xlfn.XLOOKUP($A111,'2020-2021'!$B$4:$B$23,'2020-2021'!AO$4:AO$23)</f>
        <v>0</v>
      </c>
      <c r="AO111">
        <f>_xlfn.XLOOKUP($A111,'2020-2021'!$B$4:$B$23,'2020-2021'!AP$4:AP$23)</f>
        <v>0</v>
      </c>
      <c r="AP111">
        <f>_xlfn.XLOOKUP($A111,'2020-2021'!$B$4:$B$23,'2020-2021'!AQ$4:AQ$23)</f>
        <v>0</v>
      </c>
      <c r="AQ111">
        <f>_xlfn.XLOOKUP($A111,'2020-2021'!$B$4:$B$23,'2020-2021'!AR$4:AR$23)</f>
        <v>0</v>
      </c>
      <c r="AR111">
        <f>_xlfn.XLOOKUP($A111,'2020-2021'!$B$4:$B$23,'2020-2021'!AS$4:AS$23)</f>
        <v>0</v>
      </c>
      <c r="AS111" t="str">
        <f>_xlfn.XLOOKUP($A111,'2020-2021'!$B$4:$B$23,'2020-2021'!AT$4:AT$23)</f>
        <v>20/21</v>
      </c>
    </row>
    <row r="112" spans="1:45" x14ac:dyDescent="0.25">
      <c r="A112">
        <v>11</v>
      </c>
      <c r="B112" t="str">
        <f>_xlfn.XLOOKUP($A112,'2020-2021'!$B$4:$B$23,'2020-2021'!C$4:C$23)</f>
        <v>Aston Villa</v>
      </c>
      <c r="C112">
        <f>_xlfn.XLOOKUP($A112,'2020-2021'!$B$4:$B$23,'2020-2021'!D$4:D$23)</f>
        <v>55</v>
      </c>
      <c r="D112">
        <f>_xlfn.XLOOKUP($A112,'2020-2021'!$B$4:$B$23,'2020-2021'!E$4:E$23)</f>
        <v>46</v>
      </c>
      <c r="E112">
        <f>_xlfn.XLOOKUP($A112,'2020-2021'!$B$4:$B$23,'2020-2021'!F$4:F$23)</f>
        <v>9</v>
      </c>
      <c r="F112">
        <f>_xlfn.XLOOKUP($A112,'2020-2021'!$B$4:$B$23,'2020-2021'!G$4:G$23)</f>
        <v>15</v>
      </c>
      <c r="G112">
        <f>_xlfn.XLOOKUP($A112,'2020-2021'!$B$4:$B$23,'2020-2021'!H$4:H$23)</f>
        <v>63</v>
      </c>
      <c r="H112">
        <f>_xlfn.XLOOKUP($A112,'2020-2021'!$B$4:$B$23,'2020-2021'!I$4:I$23)</f>
        <v>4</v>
      </c>
      <c r="I112">
        <f>_xlfn.XLOOKUP($A112,'2020-2021'!$B$4:$B$23,'2020-2021'!J$4:J$23)</f>
        <v>52.5</v>
      </c>
      <c r="J112">
        <f>_xlfn.XLOOKUP($A112,'2020-2021'!$B$4:$B$23,'2020-2021'!K$4:K$23)</f>
        <v>51.1</v>
      </c>
      <c r="K112">
        <f>_xlfn.XLOOKUP($A112,'2020-2021'!$B$4:$B$23,'2020-2021'!L$4:L$23)</f>
        <v>2.5</v>
      </c>
      <c r="L112">
        <f>_xlfn.XLOOKUP($A112,'2020-2021'!$B$4:$B$23,'2020-2021'!M$4:M$23)</f>
        <v>514</v>
      </c>
      <c r="M112">
        <f>_xlfn.XLOOKUP($A112,'2020-2021'!$B$4:$B$23,'2020-2021'!N$4:N$23)</f>
        <v>178</v>
      </c>
      <c r="N112">
        <f>_xlfn.XLOOKUP($A112,'2020-2021'!$B$4:$B$23,'2020-2021'!O$4:O$23)</f>
        <v>5</v>
      </c>
      <c r="O112">
        <f>_xlfn.XLOOKUP($A112,'2020-2021'!$B$4:$B$23,'2020-2021'!P$4:P$23)</f>
        <v>7</v>
      </c>
      <c r="P112">
        <f>_xlfn.XLOOKUP($A112,'2020-2021'!$B$4:$B$23,'2020-2021'!Q$4:Q$23)</f>
        <v>47</v>
      </c>
      <c r="Q112">
        <f>_xlfn.XLOOKUP($A112,'2020-2021'!$B$4:$B$23,'2020-2021'!R$4:R$23)</f>
        <v>8</v>
      </c>
      <c r="R112">
        <f>_xlfn.XLOOKUP($A112,'2020-2021'!$B$4:$B$23,'2020-2021'!S$4:S$23)</f>
        <v>4</v>
      </c>
      <c r="S112">
        <f>_xlfn.XLOOKUP($A112,'2020-2021'!$B$4:$B$23,'2020-2021'!T$4:T$23)</f>
        <v>71</v>
      </c>
      <c r="T112">
        <f>_xlfn.XLOOKUP($A112,'2020-2021'!$B$4:$B$23,'2020-2021'!U$4:U$23)</f>
        <v>1</v>
      </c>
      <c r="U112">
        <f>_xlfn.XLOOKUP($A112,'2020-2021'!$B$4:$B$23,'2020-2021'!V$4:V$23)</f>
        <v>6</v>
      </c>
      <c r="V112">
        <f>_xlfn.XLOOKUP($A112,'2020-2021'!$B$4:$B$23,'2020-2021'!W$4:W$23)</f>
        <v>133</v>
      </c>
      <c r="W112">
        <f>_xlfn.XLOOKUP($A112,'2020-2021'!$B$4:$B$23,'2020-2021'!X$4:X$23)</f>
        <v>783</v>
      </c>
      <c r="X112">
        <f>_xlfn.XLOOKUP($A112,'2020-2021'!$B$4:$B$23,'2020-2021'!Y$4:Y$23)</f>
        <v>530</v>
      </c>
      <c r="Y112">
        <f>_xlfn.XLOOKUP($A112,'2020-2021'!$B$4:$B$23,'2020-2021'!Z$4:Z$23)</f>
        <v>439</v>
      </c>
      <c r="Z112">
        <f>_xlfn.XLOOKUP($A112,'2020-2021'!$B$4:$B$23,'2020-2021'!AA$4:AA$23)</f>
        <v>12938</v>
      </c>
      <c r="AA112">
        <f>_xlfn.XLOOKUP($A112,'2020-2021'!$B$4:$B$23,'2020-2021'!AB$4:AB$23)</f>
        <v>12</v>
      </c>
      <c r="AB112">
        <f>_xlfn.XLOOKUP($A112,'2020-2021'!$B$4:$B$23,'2020-2021'!AC$4:AC$23)</f>
        <v>2308</v>
      </c>
      <c r="AC112">
        <f>_xlfn.XLOOKUP($A112,'2020-2021'!$B$4:$B$23,'2020-2021'!AD$4:AD$23)</f>
        <v>779</v>
      </c>
      <c r="AD112">
        <f>_xlfn.XLOOKUP($A112,'2020-2021'!$B$4:$B$23,'2020-2021'!AE$4:AE$23)</f>
        <v>213</v>
      </c>
      <c r="AE112">
        <f>_xlfn.XLOOKUP($A112,'2020-2021'!$B$4:$B$23,'2020-2021'!AF$4:AF$23)</f>
        <v>101.35</v>
      </c>
      <c r="AF112">
        <f>_xlfn.XLOOKUP($A112,'2020-2021'!$B$4:$B$23,'2020-2021'!AG$4:AG$23)</f>
        <v>2.77</v>
      </c>
      <c r="AG112">
        <f>_xlfn.XLOOKUP($A112,'2020-2021'!$B$4:$B$23,'2020-2021'!AH$4:AH$23)</f>
        <v>12</v>
      </c>
      <c r="AH112">
        <f>_xlfn.XLOOKUP($A112,'2020-2021'!$B$4:$B$23,'2020-2021'!AI$4:AI$23)</f>
        <v>15</v>
      </c>
      <c r="AI112">
        <f>_xlfn.XLOOKUP($A112,'2020-2021'!$B$4:$B$23,'2020-2021'!AJ$4:AJ$23)</f>
        <v>430.75</v>
      </c>
      <c r="AJ112">
        <f>_xlfn.XLOOKUP($A112,'2020-2021'!$B$4:$B$23,'2020-2021'!AK$4:AK$23)</f>
        <v>53</v>
      </c>
      <c r="AK112">
        <f>_xlfn.XLOOKUP($A112,'2020-2021'!$B$4:$B$23,'2020-2021'!AL$4:AL$23)</f>
        <v>8.1273584905660385</v>
      </c>
      <c r="AL112">
        <f>_xlfn.XLOOKUP($A112,'2020-2021'!$B$4:$B$23,'2020-2021'!AM$4:AM$23)</f>
        <v>526</v>
      </c>
      <c r="AM112">
        <f>_xlfn.XLOOKUP($A112,'2020-2021'!$B$4:$B$23,'2020-2021'!AN$4:AN$23)</f>
        <v>-0.06</v>
      </c>
      <c r="AN112">
        <f>_xlfn.XLOOKUP($A112,'2020-2021'!$B$4:$B$23,'2020-2021'!AO$4:AO$23)</f>
        <v>0</v>
      </c>
      <c r="AO112">
        <f>_xlfn.XLOOKUP($A112,'2020-2021'!$B$4:$B$23,'2020-2021'!AP$4:AP$23)</f>
        <v>0</v>
      </c>
      <c r="AP112">
        <f>_xlfn.XLOOKUP($A112,'2020-2021'!$B$4:$B$23,'2020-2021'!AQ$4:AQ$23)</f>
        <v>0</v>
      </c>
      <c r="AQ112">
        <f>_xlfn.XLOOKUP($A112,'2020-2021'!$B$4:$B$23,'2020-2021'!AR$4:AR$23)</f>
        <v>0</v>
      </c>
      <c r="AR112">
        <f>_xlfn.XLOOKUP($A112,'2020-2021'!$B$4:$B$23,'2020-2021'!AS$4:AS$23)</f>
        <v>0</v>
      </c>
      <c r="AS112" t="str">
        <f>_xlfn.XLOOKUP($A112,'2020-2021'!$B$4:$B$23,'2020-2021'!AT$4:AT$23)</f>
        <v>20/21</v>
      </c>
    </row>
    <row r="113" spans="1:45" x14ac:dyDescent="0.25">
      <c r="A113">
        <v>12</v>
      </c>
      <c r="B113" t="str">
        <f>_xlfn.XLOOKUP($A113,'2020-2021'!$B$4:$B$23,'2020-2021'!C$4:C$23)</f>
        <v>Newcastle United</v>
      </c>
      <c r="C113">
        <f>_xlfn.XLOOKUP($A113,'2020-2021'!$B$4:$B$23,'2020-2021'!D$4:D$23)</f>
        <v>46</v>
      </c>
      <c r="D113">
        <f>_xlfn.XLOOKUP($A113,'2020-2021'!$B$4:$B$23,'2020-2021'!E$4:E$23)</f>
        <v>62</v>
      </c>
      <c r="E113">
        <f>_xlfn.XLOOKUP($A113,'2020-2021'!$B$4:$B$23,'2020-2021'!F$4:F$23)</f>
        <v>-16</v>
      </c>
      <c r="F113">
        <f>_xlfn.XLOOKUP($A113,'2020-2021'!$B$4:$B$23,'2020-2021'!G$4:G$23)</f>
        <v>7</v>
      </c>
      <c r="G113">
        <f>_xlfn.XLOOKUP($A113,'2020-2021'!$B$4:$B$23,'2020-2021'!H$4:H$23)</f>
        <v>61</v>
      </c>
      <c r="H113">
        <f>_xlfn.XLOOKUP($A113,'2020-2021'!$B$4:$B$23,'2020-2021'!I$4:I$23)</f>
        <v>3</v>
      </c>
      <c r="I113">
        <f>_xlfn.XLOOKUP($A113,'2020-2021'!$B$4:$B$23,'2020-2021'!J$4:J$23)</f>
        <v>43.4</v>
      </c>
      <c r="J113">
        <f>_xlfn.XLOOKUP($A113,'2020-2021'!$B$4:$B$23,'2020-2021'!K$4:K$23)</f>
        <v>58.3</v>
      </c>
      <c r="K113">
        <f>_xlfn.XLOOKUP($A113,'2020-2021'!$B$4:$B$23,'2020-2021'!L$4:L$23)</f>
        <v>2.6000000000000014</v>
      </c>
      <c r="L113">
        <f>_xlfn.XLOOKUP($A113,'2020-2021'!$B$4:$B$23,'2020-2021'!M$4:M$23)</f>
        <v>390</v>
      </c>
      <c r="M113">
        <f>_xlfn.XLOOKUP($A113,'2020-2021'!$B$4:$B$23,'2020-2021'!N$4:N$23)</f>
        <v>130</v>
      </c>
      <c r="N113">
        <f>_xlfn.XLOOKUP($A113,'2020-2021'!$B$4:$B$23,'2020-2021'!O$4:O$23)</f>
        <v>6</v>
      </c>
      <c r="O113">
        <f>_xlfn.XLOOKUP($A113,'2020-2021'!$B$4:$B$23,'2020-2021'!P$4:P$23)</f>
        <v>9</v>
      </c>
      <c r="P113">
        <f>_xlfn.XLOOKUP($A113,'2020-2021'!$B$4:$B$23,'2020-2021'!Q$4:Q$23)</f>
        <v>43</v>
      </c>
      <c r="Q113">
        <f>_xlfn.XLOOKUP($A113,'2020-2021'!$B$4:$B$23,'2020-2021'!R$4:R$23)</f>
        <v>3</v>
      </c>
      <c r="R113">
        <f>_xlfn.XLOOKUP($A113,'2020-2021'!$B$4:$B$23,'2020-2021'!S$4:S$23)</f>
        <v>3</v>
      </c>
      <c r="S113">
        <f>_xlfn.XLOOKUP($A113,'2020-2021'!$B$4:$B$23,'2020-2021'!T$4:T$23)</f>
        <v>58</v>
      </c>
      <c r="T113">
        <f>_xlfn.XLOOKUP($A113,'2020-2021'!$B$4:$B$23,'2020-2021'!U$4:U$23)</f>
        <v>3</v>
      </c>
      <c r="U113">
        <f>_xlfn.XLOOKUP($A113,'2020-2021'!$B$4:$B$23,'2020-2021'!V$4:V$23)</f>
        <v>5</v>
      </c>
      <c r="V113">
        <f>_xlfn.XLOOKUP($A113,'2020-2021'!$B$4:$B$23,'2020-2021'!W$4:W$23)</f>
        <v>128</v>
      </c>
      <c r="W113">
        <f>_xlfn.XLOOKUP($A113,'2020-2021'!$B$4:$B$23,'2020-2021'!X$4:X$23)</f>
        <v>908</v>
      </c>
      <c r="X113">
        <f>_xlfn.XLOOKUP($A113,'2020-2021'!$B$4:$B$23,'2020-2021'!Y$4:Y$23)</f>
        <v>512</v>
      </c>
      <c r="Y113">
        <f>_xlfn.XLOOKUP($A113,'2020-2021'!$B$4:$B$23,'2020-2021'!Z$4:Z$23)</f>
        <v>388</v>
      </c>
      <c r="Z113">
        <f>_xlfn.XLOOKUP($A113,'2020-2021'!$B$4:$B$23,'2020-2021'!AA$4:AA$23)</f>
        <v>10839</v>
      </c>
      <c r="AA113">
        <f>_xlfn.XLOOKUP($A113,'2020-2021'!$B$4:$B$23,'2020-2021'!AB$4:AB$23)</f>
        <v>12</v>
      </c>
      <c r="AB113">
        <f>_xlfn.XLOOKUP($A113,'2020-2021'!$B$4:$B$23,'2020-2021'!AC$4:AC$23)</f>
        <v>2088</v>
      </c>
      <c r="AC113">
        <f>_xlfn.XLOOKUP($A113,'2020-2021'!$B$4:$B$23,'2020-2021'!AD$4:AD$23)</f>
        <v>652</v>
      </c>
      <c r="AD113">
        <f>_xlfn.XLOOKUP($A113,'2020-2021'!$B$4:$B$23,'2020-2021'!AE$4:AE$23)</f>
        <v>161</v>
      </c>
      <c r="AE113">
        <f>_xlfn.XLOOKUP($A113,'2020-2021'!$B$4:$B$23,'2020-2021'!AF$4:AF$23)</f>
        <v>39</v>
      </c>
      <c r="AF113">
        <f>_xlfn.XLOOKUP($A113,'2020-2021'!$B$4:$B$23,'2020-2021'!AG$4:AG$23)</f>
        <v>0.27500000000000002</v>
      </c>
      <c r="AG113">
        <f>_xlfn.XLOOKUP($A113,'2020-2021'!$B$4:$B$23,'2020-2021'!AH$4:AH$23)</f>
        <v>11</v>
      </c>
      <c r="AH113">
        <f>_xlfn.XLOOKUP($A113,'2020-2021'!$B$4:$B$23,'2020-2021'!AI$4:AI$23)</f>
        <v>15</v>
      </c>
      <c r="AI113">
        <f>_xlfn.XLOOKUP($A113,'2020-2021'!$B$4:$B$23,'2020-2021'!AJ$4:AJ$23)</f>
        <v>255.75</v>
      </c>
      <c r="AJ113">
        <f>_xlfn.XLOOKUP($A113,'2020-2021'!$B$4:$B$23,'2020-2021'!AK$4:AK$23)</f>
        <v>33</v>
      </c>
      <c r="AK113">
        <f>_xlfn.XLOOKUP($A113,'2020-2021'!$B$4:$B$23,'2020-2021'!AL$4:AL$23)</f>
        <v>7.75</v>
      </c>
      <c r="AL113">
        <f>_xlfn.XLOOKUP($A113,'2020-2021'!$B$4:$B$23,'2020-2021'!AM$4:AM$23)</f>
        <v>526</v>
      </c>
      <c r="AM113">
        <f>_xlfn.XLOOKUP($A113,'2020-2021'!$B$4:$B$23,'2020-2021'!AN$4:AN$23)</f>
        <v>0.03</v>
      </c>
      <c r="AN113">
        <f>_xlfn.XLOOKUP($A113,'2020-2021'!$B$4:$B$23,'2020-2021'!AO$4:AO$23)</f>
        <v>0</v>
      </c>
      <c r="AO113">
        <f>_xlfn.XLOOKUP($A113,'2020-2021'!$B$4:$B$23,'2020-2021'!AP$4:AP$23)</f>
        <v>0</v>
      </c>
      <c r="AP113">
        <f>_xlfn.XLOOKUP($A113,'2020-2021'!$B$4:$B$23,'2020-2021'!AQ$4:AQ$23)</f>
        <v>0</v>
      </c>
      <c r="AQ113">
        <f>_xlfn.XLOOKUP($A113,'2020-2021'!$B$4:$B$23,'2020-2021'!AR$4:AR$23)</f>
        <v>0</v>
      </c>
      <c r="AR113">
        <f>_xlfn.XLOOKUP($A113,'2020-2021'!$B$4:$B$23,'2020-2021'!AS$4:AS$23)</f>
        <v>0</v>
      </c>
      <c r="AS113" t="str">
        <f>_xlfn.XLOOKUP($A113,'2020-2021'!$B$4:$B$23,'2020-2021'!AT$4:AT$23)</f>
        <v>20/21</v>
      </c>
    </row>
    <row r="114" spans="1:45" x14ac:dyDescent="0.25">
      <c r="A114">
        <v>13</v>
      </c>
      <c r="B114" t="str">
        <f>_xlfn.XLOOKUP($A114,'2020-2021'!$B$4:$B$23,'2020-2021'!C$4:C$23)</f>
        <v>Wolverhampton Wanderers</v>
      </c>
      <c r="C114">
        <f>_xlfn.XLOOKUP($A114,'2020-2021'!$B$4:$B$23,'2020-2021'!D$4:D$23)</f>
        <v>36</v>
      </c>
      <c r="D114">
        <f>_xlfn.XLOOKUP($A114,'2020-2021'!$B$4:$B$23,'2020-2021'!E$4:E$23)</f>
        <v>52</v>
      </c>
      <c r="E114">
        <f>_xlfn.XLOOKUP($A114,'2020-2021'!$B$4:$B$23,'2020-2021'!F$4:F$23)</f>
        <v>-16</v>
      </c>
      <c r="F114">
        <f>_xlfn.XLOOKUP($A114,'2020-2021'!$B$4:$B$23,'2020-2021'!G$4:G$23)</f>
        <v>10</v>
      </c>
      <c r="G114">
        <f>_xlfn.XLOOKUP($A114,'2020-2021'!$B$4:$B$23,'2020-2021'!H$4:H$23)</f>
        <v>53</v>
      </c>
      <c r="H114">
        <f>_xlfn.XLOOKUP($A114,'2020-2021'!$B$4:$B$23,'2020-2021'!I$4:I$23)</f>
        <v>1</v>
      </c>
      <c r="I114">
        <f>_xlfn.XLOOKUP($A114,'2020-2021'!$B$4:$B$23,'2020-2021'!J$4:J$23)</f>
        <v>36.5</v>
      </c>
      <c r="J114">
        <f>_xlfn.XLOOKUP($A114,'2020-2021'!$B$4:$B$23,'2020-2021'!K$4:K$23)</f>
        <v>49.5</v>
      </c>
      <c r="K114">
        <f>_xlfn.XLOOKUP($A114,'2020-2021'!$B$4:$B$23,'2020-2021'!L$4:L$23)</f>
        <v>-0.5</v>
      </c>
      <c r="L114">
        <f>_xlfn.XLOOKUP($A114,'2020-2021'!$B$4:$B$23,'2020-2021'!M$4:M$23)</f>
        <v>459</v>
      </c>
      <c r="M114">
        <f>_xlfn.XLOOKUP($A114,'2020-2021'!$B$4:$B$23,'2020-2021'!N$4:N$23)</f>
        <v>149</v>
      </c>
      <c r="N114">
        <f>_xlfn.XLOOKUP($A114,'2020-2021'!$B$4:$B$23,'2020-2021'!O$4:O$23)</f>
        <v>4</v>
      </c>
      <c r="O114">
        <f>_xlfn.XLOOKUP($A114,'2020-2021'!$B$4:$B$23,'2020-2021'!P$4:P$23)</f>
        <v>8</v>
      </c>
      <c r="P114">
        <f>_xlfn.XLOOKUP($A114,'2020-2021'!$B$4:$B$23,'2020-2021'!Q$4:Q$23)</f>
        <v>34</v>
      </c>
      <c r="Q114">
        <f>_xlfn.XLOOKUP($A114,'2020-2021'!$B$4:$B$23,'2020-2021'!R$4:R$23)</f>
        <v>3</v>
      </c>
      <c r="R114">
        <f>_xlfn.XLOOKUP($A114,'2020-2021'!$B$4:$B$23,'2020-2021'!S$4:S$23)</f>
        <v>2</v>
      </c>
      <c r="S114">
        <f>_xlfn.XLOOKUP($A114,'2020-2021'!$B$4:$B$23,'2020-2021'!T$4:T$23)</f>
        <v>37</v>
      </c>
      <c r="T114">
        <f>_xlfn.XLOOKUP($A114,'2020-2021'!$B$4:$B$23,'2020-2021'!U$4:U$23)</f>
        <v>3</v>
      </c>
      <c r="U114">
        <f>_xlfn.XLOOKUP($A114,'2020-2021'!$B$4:$B$23,'2020-2021'!V$4:V$23)</f>
        <v>8</v>
      </c>
      <c r="V114">
        <f>_xlfn.XLOOKUP($A114,'2020-2021'!$B$4:$B$23,'2020-2021'!W$4:W$23)</f>
        <v>102</v>
      </c>
      <c r="W114">
        <f>_xlfn.XLOOKUP($A114,'2020-2021'!$B$4:$B$23,'2020-2021'!X$4:X$23)</f>
        <v>727</v>
      </c>
      <c r="X114">
        <f>_xlfn.XLOOKUP($A114,'2020-2021'!$B$4:$B$23,'2020-2021'!Y$4:Y$23)</f>
        <v>588</v>
      </c>
      <c r="Y114">
        <f>_xlfn.XLOOKUP($A114,'2020-2021'!$B$4:$B$23,'2020-2021'!Z$4:Z$23)</f>
        <v>426</v>
      </c>
      <c r="Z114">
        <f>_xlfn.XLOOKUP($A114,'2020-2021'!$B$4:$B$23,'2020-2021'!AA$4:AA$23)</f>
        <v>15548</v>
      </c>
      <c r="AA114">
        <f>_xlfn.XLOOKUP($A114,'2020-2021'!$B$4:$B$23,'2020-2021'!AB$4:AB$23)</f>
        <v>20</v>
      </c>
      <c r="AB114">
        <f>_xlfn.XLOOKUP($A114,'2020-2021'!$B$4:$B$23,'2020-2021'!AC$4:AC$23)</f>
        <v>2943</v>
      </c>
      <c r="AC114">
        <f>_xlfn.XLOOKUP($A114,'2020-2021'!$B$4:$B$23,'2020-2021'!AD$4:AD$23)</f>
        <v>775</v>
      </c>
      <c r="AD114">
        <f>_xlfn.XLOOKUP($A114,'2020-2021'!$B$4:$B$23,'2020-2021'!AE$4:AE$23)</f>
        <v>208</v>
      </c>
      <c r="AE114">
        <f>_xlfn.XLOOKUP($A114,'2020-2021'!$B$4:$B$23,'2020-2021'!AF$4:AF$23)</f>
        <v>87.8</v>
      </c>
      <c r="AF114">
        <f>_xlfn.XLOOKUP($A114,'2020-2021'!$B$4:$B$23,'2020-2021'!AG$4:AG$23)</f>
        <v>79.2</v>
      </c>
      <c r="AG114">
        <f>_xlfn.XLOOKUP($A114,'2020-2021'!$B$4:$B$23,'2020-2021'!AH$4:AH$23)</f>
        <v>21</v>
      </c>
      <c r="AH114">
        <f>_xlfn.XLOOKUP($A114,'2020-2021'!$B$4:$B$23,'2020-2021'!AI$4:AI$23)</f>
        <v>24</v>
      </c>
      <c r="AI114">
        <f>_xlfn.XLOOKUP($A114,'2020-2021'!$B$4:$B$23,'2020-2021'!AJ$4:AJ$23)</f>
        <v>450.3</v>
      </c>
      <c r="AJ114">
        <f>_xlfn.XLOOKUP($A114,'2020-2021'!$B$4:$B$23,'2020-2021'!AK$4:AK$23)</f>
        <v>38</v>
      </c>
      <c r="AK114">
        <f>_xlfn.XLOOKUP($A114,'2020-2021'!$B$4:$B$23,'2020-2021'!AL$4:AL$23)</f>
        <v>11.85</v>
      </c>
      <c r="AL114">
        <f>_xlfn.XLOOKUP($A114,'2020-2021'!$B$4:$B$23,'2020-2021'!AM$4:AM$23)</f>
        <v>237</v>
      </c>
      <c r="AM114">
        <f>_xlfn.XLOOKUP($A114,'2020-2021'!$B$4:$B$23,'2020-2021'!AN$4:AN$23)</f>
        <v>0.11</v>
      </c>
      <c r="AN114">
        <f>_xlfn.XLOOKUP($A114,'2020-2021'!$B$4:$B$23,'2020-2021'!AO$4:AO$23)</f>
        <v>0</v>
      </c>
      <c r="AO114">
        <f>_xlfn.XLOOKUP($A114,'2020-2021'!$B$4:$B$23,'2020-2021'!AP$4:AP$23)</f>
        <v>0</v>
      </c>
      <c r="AP114">
        <f>_xlfn.XLOOKUP($A114,'2020-2021'!$B$4:$B$23,'2020-2021'!AQ$4:AQ$23)</f>
        <v>0</v>
      </c>
      <c r="AQ114">
        <f>_xlfn.XLOOKUP($A114,'2020-2021'!$B$4:$B$23,'2020-2021'!AR$4:AR$23)</f>
        <v>0</v>
      </c>
      <c r="AR114">
        <f>_xlfn.XLOOKUP($A114,'2020-2021'!$B$4:$B$23,'2020-2021'!AS$4:AS$23)</f>
        <v>0</v>
      </c>
      <c r="AS114" t="str">
        <f>_xlfn.XLOOKUP($A114,'2020-2021'!$B$4:$B$23,'2020-2021'!AT$4:AT$23)</f>
        <v>20/21</v>
      </c>
    </row>
    <row r="115" spans="1:45" x14ac:dyDescent="0.25">
      <c r="A115">
        <v>14</v>
      </c>
      <c r="B115" t="str">
        <f>_xlfn.XLOOKUP($A115,'2020-2021'!$B$4:$B$23,'2020-2021'!C$4:C$23)</f>
        <v>Crystal Palace</v>
      </c>
      <c r="C115">
        <f>_xlfn.XLOOKUP($A115,'2020-2021'!$B$4:$B$23,'2020-2021'!D$4:D$23)</f>
        <v>41</v>
      </c>
      <c r="D115">
        <f>_xlfn.XLOOKUP($A115,'2020-2021'!$B$4:$B$23,'2020-2021'!E$4:E$23)</f>
        <v>66</v>
      </c>
      <c r="E115">
        <f>_xlfn.XLOOKUP($A115,'2020-2021'!$B$4:$B$23,'2020-2021'!F$4:F$23)</f>
        <v>-25</v>
      </c>
      <c r="F115">
        <f>_xlfn.XLOOKUP($A115,'2020-2021'!$B$4:$B$23,'2020-2021'!G$4:G$23)</f>
        <v>8</v>
      </c>
      <c r="G115">
        <f>_xlfn.XLOOKUP($A115,'2020-2021'!$B$4:$B$23,'2020-2021'!H$4:H$23)</f>
        <v>54</v>
      </c>
      <c r="H115">
        <f>_xlfn.XLOOKUP($A115,'2020-2021'!$B$4:$B$23,'2020-2021'!I$4:I$23)</f>
        <v>2</v>
      </c>
      <c r="I115">
        <f>_xlfn.XLOOKUP($A115,'2020-2021'!$B$4:$B$23,'2020-2021'!J$4:J$23)</f>
        <v>34.1</v>
      </c>
      <c r="J115">
        <f>_xlfn.XLOOKUP($A115,'2020-2021'!$B$4:$B$23,'2020-2021'!K$4:K$23)</f>
        <v>58.2</v>
      </c>
      <c r="K115">
        <f>_xlfn.XLOOKUP($A115,'2020-2021'!$B$4:$B$23,'2020-2021'!L$4:L$23)</f>
        <v>6.8999999999999986</v>
      </c>
      <c r="L115">
        <f>_xlfn.XLOOKUP($A115,'2020-2021'!$B$4:$B$23,'2020-2021'!M$4:M$23)</f>
        <v>345</v>
      </c>
      <c r="M115">
        <f>_xlfn.XLOOKUP($A115,'2020-2021'!$B$4:$B$23,'2020-2021'!N$4:N$23)</f>
        <v>127</v>
      </c>
      <c r="N115">
        <f>_xlfn.XLOOKUP($A115,'2020-2021'!$B$4:$B$23,'2020-2021'!O$4:O$23)</f>
        <v>3</v>
      </c>
      <c r="O115">
        <f>_xlfn.XLOOKUP($A115,'2020-2021'!$B$4:$B$23,'2020-2021'!P$4:P$23)</f>
        <v>9</v>
      </c>
      <c r="P115">
        <f>_xlfn.XLOOKUP($A115,'2020-2021'!$B$4:$B$23,'2020-2021'!Q$4:Q$23)</f>
        <v>36</v>
      </c>
      <c r="Q115">
        <f>_xlfn.XLOOKUP($A115,'2020-2021'!$B$4:$B$23,'2020-2021'!R$4:R$23)</f>
        <v>5</v>
      </c>
      <c r="R115">
        <f>_xlfn.XLOOKUP($A115,'2020-2021'!$B$4:$B$23,'2020-2021'!S$4:S$23)</f>
        <v>3</v>
      </c>
      <c r="S115">
        <f>_xlfn.XLOOKUP($A115,'2020-2021'!$B$4:$B$23,'2020-2021'!T$4:T$23)</f>
        <v>67</v>
      </c>
      <c r="T115">
        <f>_xlfn.XLOOKUP($A115,'2020-2021'!$B$4:$B$23,'2020-2021'!U$4:U$23)</f>
        <v>0</v>
      </c>
      <c r="U115">
        <f>_xlfn.XLOOKUP($A115,'2020-2021'!$B$4:$B$23,'2020-2021'!V$4:V$23)</f>
        <v>4</v>
      </c>
      <c r="V115">
        <f>_xlfn.XLOOKUP($A115,'2020-2021'!$B$4:$B$23,'2020-2021'!W$4:W$23)</f>
        <v>107</v>
      </c>
      <c r="W115">
        <f>_xlfn.XLOOKUP($A115,'2020-2021'!$B$4:$B$23,'2020-2021'!X$4:X$23)</f>
        <v>774</v>
      </c>
      <c r="X115">
        <f>_xlfn.XLOOKUP($A115,'2020-2021'!$B$4:$B$23,'2020-2021'!Y$4:Y$23)</f>
        <v>636</v>
      </c>
      <c r="Y115">
        <f>_xlfn.XLOOKUP($A115,'2020-2021'!$B$4:$B$23,'2020-2021'!Z$4:Z$23)</f>
        <v>409</v>
      </c>
      <c r="Z115">
        <f>_xlfn.XLOOKUP($A115,'2020-2021'!$B$4:$B$23,'2020-2021'!AA$4:AA$23)</f>
        <v>11627</v>
      </c>
      <c r="AA115">
        <f>_xlfn.XLOOKUP($A115,'2020-2021'!$B$4:$B$23,'2020-2021'!AB$4:AB$23)</f>
        <v>8</v>
      </c>
      <c r="AB115">
        <f>_xlfn.XLOOKUP($A115,'2020-2021'!$B$4:$B$23,'2020-2021'!AC$4:AC$23)</f>
        <v>2173</v>
      </c>
      <c r="AC115">
        <f>_xlfn.XLOOKUP($A115,'2020-2021'!$B$4:$B$23,'2020-2021'!AD$4:AD$23)</f>
        <v>533</v>
      </c>
      <c r="AD115">
        <f>_xlfn.XLOOKUP($A115,'2020-2021'!$B$4:$B$23,'2020-2021'!AE$4:AE$23)</f>
        <v>151</v>
      </c>
      <c r="AE115">
        <f>_xlfn.XLOOKUP($A115,'2020-2021'!$B$4:$B$23,'2020-2021'!AF$4:AF$23)</f>
        <v>22.4</v>
      </c>
      <c r="AF115">
        <f>_xlfn.XLOOKUP($A115,'2020-2021'!$B$4:$B$23,'2020-2021'!AG$4:AG$23)</f>
        <v>20</v>
      </c>
      <c r="AG115">
        <f>_xlfn.XLOOKUP($A115,'2020-2021'!$B$4:$B$23,'2020-2021'!AH$4:AH$23)</f>
        <v>13</v>
      </c>
      <c r="AH115">
        <f>_xlfn.XLOOKUP($A115,'2020-2021'!$B$4:$B$23,'2020-2021'!AI$4:AI$23)</f>
        <v>8</v>
      </c>
      <c r="AI115">
        <f>_xlfn.XLOOKUP($A115,'2020-2021'!$B$4:$B$23,'2020-2021'!AJ$4:AJ$23)</f>
        <v>195.85</v>
      </c>
      <c r="AJ115">
        <f>_xlfn.XLOOKUP($A115,'2020-2021'!$B$4:$B$23,'2020-2021'!AK$4:AK$23)</f>
        <v>36</v>
      </c>
      <c r="AK115">
        <f>_xlfn.XLOOKUP($A115,'2020-2021'!$B$4:$B$23,'2020-2021'!AL$4:AL$23)</f>
        <v>5.4402777777777773</v>
      </c>
      <c r="AL115">
        <f>_xlfn.XLOOKUP($A115,'2020-2021'!$B$4:$B$23,'2020-2021'!AM$4:AM$23)</f>
        <v>447</v>
      </c>
      <c r="AM115">
        <f>_xlfn.XLOOKUP($A115,'2020-2021'!$B$4:$B$23,'2020-2021'!AN$4:AN$23)</f>
        <v>0</v>
      </c>
      <c r="AN115">
        <f>_xlfn.XLOOKUP($A115,'2020-2021'!$B$4:$B$23,'2020-2021'!AO$4:AO$23)</f>
        <v>0</v>
      </c>
      <c r="AO115">
        <f>_xlfn.XLOOKUP($A115,'2020-2021'!$B$4:$B$23,'2020-2021'!AP$4:AP$23)</f>
        <v>0</v>
      </c>
      <c r="AP115">
        <f>_xlfn.XLOOKUP($A115,'2020-2021'!$B$4:$B$23,'2020-2021'!AQ$4:AQ$23)</f>
        <v>0</v>
      </c>
      <c r="AQ115">
        <f>_xlfn.XLOOKUP($A115,'2020-2021'!$B$4:$B$23,'2020-2021'!AR$4:AR$23)</f>
        <v>0</v>
      </c>
      <c r="AR115">
        <f>_xlfn.XLOOKUP($A115,'2020-2021'!$B$4:$B$23,'2020-2021'!AS$4:AS$23)</f>
        <v>0</v>
      </c>
      <c r="AS115" t="str">
        <f>_xlfn.XLOOKUP($A115,'2020-2021'!$B$4:$B$23,'2020-2021'!AT$4:AT$23)</f>
        <v>20/21</v>
      </c>
    </row>
    <row r="116" spans="1:45" x14ac:dyDescent="0.25">
      <c r="A116">
        <v>15</v>
      </c>
      <c r="B116" t="str">
        <f>_xlfn.XLOOKUP($A116,'2020-2021'!$B$4:$B$23,'2020-2021'!C$4:C$23)</f>
        <v>Southampton</v>
      </c>
      <c r="C116">
        <f>_xlfn.XLOOKUP($A116,'2020-2021'!$B$4:$B$23,'2020-2021'!D$4:D$23)</f>
        <v>48</v>
      </c>
      <c r="D116">
        <f>_xlfn.XLOOKUP($A116,'2020-2021'!$B$4:$B$23,'2020-2021'!E$4:E$23)</f>
        <v>68</v>
      </c>
      <c r="E116">
        <f>_xlfn.XLOOKUP($A116,'2020-2021'!$B$4:$B$23,'2020-2021'!F$4:F$23)</f>
        <v>-20</v>
      </c>
      <c r="F116">
        <f>_xlfn.XLOOKUP($A116,'2020-2021'!$B$4:$B$23,'2020-2021'!G$4:G$23)</f>
        <v>9</v>
      </c>
      <c r="G116">
        <f>_xlfn.XLOOKUP($A116,'2020-2021'!$B$4:$B$23,'2020-2021'!H$4:H$23)</f>
        <v>52</v>
      </c>
      <c r="H116">
        <f>_xlfn.XLOOKUP($A116,'2020-2021'!$B$4:$B$23,'2020-2021'!I$4:I$23)</f>
        <v>4</v>
      </c>
      <c r="I116">
        <f>_xlfn.XLOOKUP($A116,'2020-2021'!$B$4:$B$23,'2020-2021'!J$4:J$23)</f>
        <v>41.2</v>
      </c>
      <c r="J116">
        <f>_xlfn.XLOOKUP($A116,'2020-2021'!$B$4:$B$23,'2020-2021'!K$4:K$23)</f>
        <v>53.1</v>
      </c>
      <c r="K116">
        <f>_xlfn.XLOOKUP($A116,'2020-2021'!$B$4:$B$23,'2020-2021'!L$4:L$23)</f>
        <v>6.7999999999999972</v>
      </c>
      <c r="L116">
        <f>_xlfn.XLOOKUP($A116,'2020-2021'!$B$4:$B$23,'2020-2021'!M$4:M$23)</f>
        <v>418</v>
      </c>
      <c r="M116">
        <f>_xlfn.XLOOKUP($A116,'2020-2021'!$B$4:$B$23,'2020-2021'!N$4:N$23)</f>
        <v>157</v>
      </c>
      <c r="N116">
        <f>_xlfn.XLOOKUP($A116,'2020-2021'!$B$4:$B$23,'2020-2021'!O$4:O$23)</f>
        <v>5</v>
      </c>
      <c r="O116">
        <f>_xlfn.XLOOKUP($A116,'2020-2021'!$B$4:$B$23,'2020-2021'!P$4:P$23)</f>
        <v>5</v>
      </c>
      <c r="P116">
        <f>_xlfn.XLOOKUP($A116,'2020-2021'!$B$4:$B$23,'2020-2021'!Q$4:Q$23)</f>
        <v>40</v>
      </c>
      <c r="Q116">
        <f>_xlfn.XLOOKUP($A116,'2020-2021'!$B$4:$B$23,'2020-2021'!R$4:R$23)</f>
        <v>8</v>
      </c>
      <c r="R116">
        <f>_xlfn.XLOOKUP($A116,'2020-2021'!$B$4:$B$23,'2020-2021'!S$4:S$23)</f>
        <v>0</v>
      </c>
      <c r="S116">
        <f>_xlfn.XLOOKUP($A116,'2020-2021'!$B$4:$B$23,'2020-2021'!T$4:T$23)</f>
        <v>76</v>
      </c>
      <c r="T116">
        <f>_xlfn.XLOOKUP($A116,'2020-2021'!$B$4:$B$23,'2020-2021'!U$4:U$23)</f>
        <v>1</v>
      </c>
      <c r="U116">
        <f>_xlfn.XLOOKUP($A116,'2020-2021'!$B$4:$B$23,'2020-2021'!V$4:V$23)</f>
        <v>9</v>
      </c>
      <c r="V116">
        <f>_xlfn.XLOOKUP($A116,'2020-2021'!$B$4:$B$23,'2020-2021'!W$4:W$23)</f>
        <v>110</v>
      </c>
      <c r="W116">
        <f>_xlfn.XLOOKUP($A116,'2020-2021'!$B$4:$B$23,'2020-2021'!X$4:X$23)</f>
        <v>681</v>
      </c>
      <c r="X116">
        <f>_xlfn.XLOOKUP($A116,'2020-2021'!$B$4:$B$23,'2020-2021'!Y$4:Y$23)</f>
        <v>727</v>
      </c>
      <c r="Y116">
        <f>_xlfn.XLOOKUP($A116,'2020-2021'!$B$4:$B$23,'2020-2021'!Z$4:Z$23)</f>
        <v>428</v>
      </c>
      <c r="Z116">
        <f>_xlfn.XLOOKUP($A116,'2020-2021'!$B$4:$B$23,'2020-2021'!AA$4:AA$23)</f>
        <v>14928</v>
      </c>
      <c r="AA116">
        <f>_xlfn.XLOOKUP($A116,'2020-2021'!$B$4:$B$23,'2020-2021'!AB$4:AB$23)</f>
        <v>16</v>
      </c>
      <c r="AB116">
        <f>_xlfn.XLOOKUP($A116,'2020-2021'!$B$4:$B$23,'2020-2021'!AC$4:AC$23)</f>
        <v>2983</v>
      </c>
      <c r="AC116">
        <f>_xlfn.XLOOKUP($A116,'2020-2021'!$B$4:$B$23,'2020-2021'!AD$4:AD$23)</f>
        <v>554</v>
      </c>
      <c r="AD116">
        <f>_xlfn.XLOOKUP($A116,'2020-2021'!$B$4:$B$23,'2020-2021'!AE$4:AE$23)</f>
        <v>177</v>
      </c>
      <c r="AE116">
        <f>_xlfn.XLOOKUP($A116,'2020-2021'!$B$4:$B$23,'2020-2021'!AF$4:AF$23)</f>
        <v>37.299999999999997</v>
      </c>
      <c r="AF116">
        <f>_xlfn.XLOOKUP($A116,'2020-2021'!$B$4:$B$23,'2020-2021'!AG$4:AG$23)</f>
        <v>26.3</v>
      </c>
      <c r="AG116">
        <f>_xlfn.XLOOKUP($A116,'2020-2021'!$B$4:$B$23,'2020-2021'!AH$4:AH$23)</f>
        <v>23</v>
      </c>
      <c r="AH116">
        <f>_xlfn.XLOOKUP($A116,'2020-2021'!$B$4:$B$23,'2020-2021'!AI$4:AI$23)</f>
        <v>18</v>
      </c>
      <c r="AI116">
        <f>_xlfn.XLOOKUP($A116,'2020-2021'!$B$4:$B$23,'2020-2021'!AJ$4:AJ$23)</f>
        <v>282.8</v>
      </c>
      <c r="AJ116">
        <f>_xlfn.XLOOKUP($A116,'2020-2021'!$B$4:$B$23,'2020-2021'!AK$4:AK$23)</f>
        <v>39</v>
      </c>
      <c r="AK116">
        <f>_xlfn.XLOOKUP($A116,'2020-2021'!$B$4:$B$23,'2020-2021'!AL$4:AL$23)</f>
        <v>7.2512820512820513</v>
      </c>
      <c r="AL116">
        <f>_xlfn.XLOOKUP($A116,'2020-2021'!$B$4:$B$23,'2020-2021'!AM$4:AM$23)</f>
        <v>526</v>
      </c>
      <c r="AM116">
        <f>_xlfn.XLOOKUP($A116,'2020-2021'!$B$4:$B$23,'2020-2021'!AN$4:AN$23)</f>
        <v>0.23</v>
      </c>
      <c r="AN116">
        <f>_xlfn.XLOOKUP($A116,'2020-2021'!$B$4:$B$23,'2020-2021'!AO$4:AO$23)</f>
        <v>0</v>
      </c>
      <c r="AO116">
        <f>_xlfn.XLOOKUP($A116,'2020-2021'!$B$4:$B$23,'2020-2021'!AP$4:AP$23)</f>
        <v>0</v>
      </c>
      <c r="AP116">
        <f>_xlfn.XLOOKUP($A116,'2020-2021'!$B$4:$B$23,'2020-2021'!AQ$4:AQ$23)</f>
        <v>0</v>
      </c>
      <c r="AQ116">
        <f>_xlfn.XLOOKUP($A116,'2020-2021'!$B$4:$B$23,'2020-2021'!AR$4:AR$23)</f>
        <v>0</v>
      </c>
      <c r="AR116">
        <f>_xlfn.XLOOKUP($A116,'2020-2021'!$B$4:$B$23,'2020-2021'!AS$4:AS$23)</f>
        <v>0</v>
      </c>
      <c r="AS116" t="str">
        <f>_xlfn.XLOOKUP($A116,'2020-2021'!$B$4:$B$23,'2020-2021'!AT$4:AT$23)</f>
        <v>20/21</v>
      </c>
    </row>
    <row r="117" spans="1:45" x14ac:dyDescent="0.25">
      <c r="A117">
        <v>16</v>
      </c>
      <c r="B117" t="str">
        <f>_xlfn.XLOOKUP($A117,'2020-2021'!$B$4:$B$23,'2020-2021'!C$4:C$23)</f>
        <v>Brighton and Hove Albion</v>
      </c>
      <c r="C117">
        <f>_xlfn.XLOOKUP($A117,'2020-2021'!$B$4:$B$23,'2020-2021'!D$4:D$23)</f>
        <v>41</v>
      </c>
      <c r="D117">
        <f>_xlfn.XLOOKUP($A117,'2020-2021'!$B$4:$B$23,'2020-2021'!E$4:E$23)</f>
        <v>46</v>
      </c>
      <c r="E117">
        <f>_xlfn.XLOOKUP($A117,'2020-2021'!$B$4:$B$23,'2020-2021'!F$4:F$23)</f>
        <v>-5</v>
      </c>
      <c r="F117">
        <f>_xlfn.XLOOKUP($A117,'2020-2021'!$B$4:$B$23,'2020-2021'!G$4:G$23)</f>
        <v>12</v>
      </c>
      <c r="G117">
        <f>_xlfn.XLOOKUP($A117,'2020-2021'!$B$4:$B$23,'2020-2021'!H$4:H$23)</f>
        <v>46</v>
      </c>
      <c r="H117">
        <f>_xlfn.XLOOKUP($A117,'2020-2021'!$B$4:$B$23,'2020-2021'!I$4:I$23)</f>
        <v>6</v>
      </c>
      <c r="I117">
        <f>_xlfn.XLOOKUP($A117,'2020-2021'!$B$4:$B$23,'2020-2021'!J$4:J$23)</f>
        <v>50.9</v>
      </c>
      <c r="J117">
        <f>_xlfn.XLOOKUP($A117,'2020-2021'!$B$4:$B$23,'2020-2021'!K$4:K$23)</f>
        <v>35.299999999999997</v>
      </c>
      <c r="K117">
        <f>_xlfn.XLOOKUP($A117,'2020-2021'!$B$4:$B$23,'2020-2021'!L$4:L$23)</f>
        <v>-9.8999999999999986</v>
      </c>
      <c r="L117">
        <f>_xlfn.XLOOKUP($A117,'2020-2021'!$B$4:$B$23,'2020-2021'!M$4:M$23)</f>
        <v>478</v>
      </c>
      <c r="M117">
        <f>_xlfn.XLOOKUP($A117,'2020-2021'!$B$4:$B$23,'2020-2021'!N$4:N$23)</f>
        <v>134</v>
      </c>
      <c r="N117">
        <f>_xlfn.XLOOKUP($A117,'2020-2021'!$B$4:$B$23,'2020-2021'!O$4:O$23)</f>
        <v>6</v>
      </c>
      <c r="O117">
        <f>_xlfn.XLOOKUP($A117,'2020-2021'!$B$4:$B$23,'2020-2021'!P$4:P$23)</f>
        <v>7</v>
      </c>
      <c r="P117">
        <f>_xlfn.XLOOKUP($A117,'2020-2021'!$B$4:$B$23,'2020-2021'!Q$4:Q$23)</f>
        <v>35</v>
      </c>
      <c r="Q117">
        <f>_xlfn.XLOOKUP($A117,'2020-2021'!$B$4:$B$23,'2020-2021'!R$4:R$23)</f>
        <v>7</v>
      </c>
      <c r="R117">
        <f>_xlfn.XLOOKUP($A117,'2020-2021'!$B$4:$B$23,'2020-2021'!S$4:S$23)</f>
        <v>0</v>
      </c>
      <c r="S117">
        <f>_xlfn.XLOOKUP($A117,'2020-2021'!$B$4:$B$23,'2020-2021'!T$4:T$23)</f>
        <v>52</v>
      </c>
      <c r="T117">
        <f>_xlfn.XLOOKUP($A117,'2020-2021'!$B$4:$B$23,'2020-2021'!U$4:U$23)</f>
        <v>2</v>
      </c>
      <c r="U117">
        <f>_xlfn.XLOOKUP($A117,'2020-2021'!$B$4:$B$23,'2020-2021'!V$4:V$23)</f>
        <v>7</v>
      </c>
      <c r="V117">
        <f>_xlfn.XLOOKUP($A117,'2020-2021'!$B$4:$B$23,'2020-2021'!W$4:W$23)</f>
        <v>81</v>
      </c>
      <c r="W117">
        <f>_xlfn.XLOOKUP($A117,'2020-2021'!$B$4:$B$23,'2020-2021'!X$4:X$23)</f>
        <v>604</v>
      </c>
      <c r="X117">
        <f>_xlfn.XLOOKUP($A117,'2020-2021'!$B$4:$B$23,'2020-2021'!Y$4:Y$23)</f>
        <v>628</v>
      </c>
      <c r="Y117">
        <f>_xlfn.XLOOKUP($A117,'2020-2021'!$B$4:$B$23,'2020-2021'!Z$4:Z$23)</f>
        <v>428</v>
      </c>
      <c r="Z117">
        <f>_xlfn.XLOOKUP($A117,'2020-2021'!$B$4:$B$23,'2020-2021'!AA$4:AA$23)</f>
        <v>15772</v>
      </c>
      <c r="AA117">
        <f>_xlfn.XLOOKUP($A117,'2020-2021'!$B$4:$B$23,'2020-2021'!AB$4:AB$23)</f>
        <v>17</v>
      </c>
      <c r="AB117">
        <f>_xlfn.XLOOKUP($A117,'2020-2021'!$B$4:$B$23,'2020-2021'!AC$4:AC$23)</f>
        <v>2777</v>
      </c>
      <c r="AC117">
        <f>_xlfn.XLOOKUP($A117,'2020-2021'!$B$4:$B$23,'2020-2021'!AD$4:AD$23)</f>
        <v>686</v>
      </c>
      <c r="AD117">
        <f>_xlfn.XLOOKUP($A117,'2020-2021'!$B$4:$B$23,'2020-2021'!AE$4:AE$23)</f>
        <v>219</v>
      </c>
      <c r="AE117">
        <f>_xlfn.XLOOKUP($A117,'2020-2021'!$B$4:$B$23,'2020-2021'!AF$4:AF$23)</f>
        <v>28.5</v>
      </c>
      <c r="AF117">
        <f>_xlfn.XLOOKUP($A117,'2020-2021'!$B$4:$B$23,'2020-2021'!AG$4:AG$23)</f>
        <v>20.6</v>
      </c>
      <c r="AG117">
        <f>_xlfn.XLOOKUP($A117,'2020-2021'!$B$4:$B$23,'2020-2021'!AH$4:AH$23)</f>
        <v>28</v>
      </c>
      <c r="AH117">
        <f>_xlfn.XLOOKUP($A117,'2020-2021'!$B$4:$B$23,'2020-2021'!AI$4:AI$23)</f>
        <v>22</v>
      </c>
      <c r="AI117">
        <f>_xlfn.XLOOKUP($A117,'2020-2021'!$B$4:$B$23,'2020-2021'!AJ$4:AJ$23)</f>
        <v>290.39999999999998</v>
      </c>
      <c r="AJ117">
        <f>_xlfn.XLOOKUP($A117,'2020-2021'!$B$4:$B$23,'2020-2021'!AK$4:AK$23)</f>
        <v>46</v>
      </c>
      <c r="AK117">
        <f>_xlfn.XLOOKUP($A117,'2020-2021'!$B$4:$B$23,'2020-2021'!AL$4:AL$23)</f>
        <v>6.3130434782608686</v>
      </c>
      <c r="AL117">
        <f>_xlfn.XLOOKUP($A117,'2020-2021'!$B$4:$B$23,'2020-2021'!AM$4:AM$23)</f>
        <v>523</v>
      </c>
      <c r="AM117">
        <f>_xlfn.XLOOKUP($A117,'2020-2021'!$B$4:$B$23,'2020-2021'!AN$4:AN$23)</f>
        <v>7.0000000000000007E-2</v>
      </c>
      <c r="AN117">
        <f>_xlfn.XLOOKUP($A117,'2020-2021'!$B$4:$B$23,'2020-2021'!AO$4:AO$23)</f>
        <v>0</v>
      </c>
      <c r="AO117">
        <f>_xlfn.XLOOKUP($A117,'2020-2021'!$B$4:$B$23,'2020-2021'!AP$4:AP$23)</f>
        <v>0</v>
      </c>
      <c r="AP117">
        <f>_xlfn.XLOOKUP($A117,'2020-2021'!$B$4:$B$23,'2020-2021'!AQ$4:AQ$23)</f>
        <v>0</v>
      </c>
      <c r="AQ117">
        <f>_xlfn.XLOOKUP($A117,'2020-2021'!$B$4:$B$23,'2020-2021'!AR$4:AR$23)</f>
        <v>0</v>
      </c>
      <c r="AR117">
        <f>_xlfn.XLOOKUP($A117,'2020-2021'!$B$4:$B$23,'2020-2021'!AS$4:AS$23)</f>
        <v>0</v>
      </c>
      <c r="AS117" t="str">
        <f>_xlfn.XLOOKUP($A117,'2020-2021'!$B$4:$B$23,'2020-2021'!AT$4:AT$23)</f>
        <v>20/21</v>
      </c>
    </row>
    <row r="118" spans="1:45" x14ac:dyDescent="0.25">
      <c r="A118">
        <v>17</v>
      </c>
      <c r="B118" t="str">
        <f>_xlfn.XLOOKUP($A118,'2020-2021'!$B$4:$B$23,'2020-2021'!C$4:C$23)</f>
        <v>Burnley</v>
      </c>
      <c r="C118">
        <f>_xlfn.XLOOKUP($A118,'2020-2021'!$B$4:$B$23,'2020-2021'!D$4:D$23)</f>
        <v>33</v>
      </c>
      <c r="D118">
        <f>_xlfn.XLOOKUP($A118,'2020-2021'!$B$4:$B$23,'2020-2021'!E$4:E$23)</f>
        <v>55</v>
      </c>
      <c r="E118">
        <f>_xlfn.XLOOKUP($A118,'2020-2021'!$B$4:$B$23,'2020-2021'!F$4:F$23)</f>
        <v>-22</v>
      </c>
      <c r="F118">
        <f>_xlfn.XLOOKUP($A118,'2020-2021'!$B$4:$B$23,'2020-2021'!G$4:G$23)</f>
        <v>11</v>
      </c>
      <c r="G118">
        <f>_xlfn.XLOOKUP($A118,'2020-2021'!$B$4:$B$23,'2020-2021'!H$4:H$23)</f>
        <v>48</v>
      </c>
      <c r="H118">
        <f>_xlfn.XLOOKUP($A118,'2020-2021'!$B$4:$B$23,'2020-2021'!I$4:I$23)</f>
        <v>1</v>
      </c>
      <c r="I118">
        <f>_xlfn.XLOOKUP($A118,'2020-2021'!$B$4:$B$23,'2020-2021'!J$4:J$23)</f>
        <v>39.299999999999997</v>
      </c>
      <c r="J118">
        <f>_xlfn.XLOOKUP($A118,'2020-2021'!$B$4:$B$23,'2020-2021'!K$4:K$23)</f>
        <v>54.7</v>
      </c>
      <c r="K118">
        <f>_xlfn.XLOOKUP($A118,'2020-2021'!$B$4:$B$23,'2020-2021'!L$4:L$23)</f>
        <v>-6.2999999999999972</v>
      </c>
      <c r="L118">
        <f>_xlfn.XLOOKUP($A118,'2020-2021'!$B$4:$B$23,'2020-2021'!M$4:M$23)</f>
        <v>381</v>
      </c>
      <c r="M118">
        <f>_xlfn.XLOOKUP($A118,'2020-2021'!$B$4:$B$23,'2020-2021'!N$4:N$23)</f>
        <v>124</v>
      </c>
      <c r="N118">
        <f>_xlfn.XLOOKUP($A118,'2020-2021'!$B$4:$B$23,'2020-2021'!O$4:O$23)</f>
        <v>3</v>
      </c>
      <c r="O118">
        <f>_xlfn.XLOOKUP($A118,'2020-2021'!$B$4:$B$23,'2020-2021'!P$4:P$23)</f>
        <v>8</v>
      </c>
      <c r="P118">
        <f>_xlfn.XLOOKUP($A118,'2020-2021'!$B$4:$B$23,'2020-2021'!Q$4:Q$23)</f>
        <v>28</v>
      </c>
      <c r="Q118">
        <f>_xlfn.XLOOKUP($A118,'2020-2021'!$B$4:$B$23,'2020-2021'!R$4:R$23)</f>
        <v>5</v>
      </c>
      <c r="R118">
        <f>_xlfn.XLOOKUP($A118,'2020-2021'!$B$4:$B$23,'2020-2021'!S$4:S$23)</f>
        <v>1</v>
      </c>
      <c r="S118">
        <f>_xlfn.XLOOKUP($A118,'2020-2021'!$B$4:$B$23,'2020-2021'!T$4:T$23)</f>
        <v>80</v>
      </c>
      <c r="T118">
        <f>_xlfn.XLOOKUP($A118,'2020-2021'!$B$4:$B$23,'2020-2021'!U$4:U$23)</f>
        <v>1</v>
      </c>
      <c r="U118">
        <f>_xlfn.XLOOKUP($A118,'2020-2021'!$B$4:$B$23,'2020-2021'!V$4:V$23)</f>
        <v>3</v>
      </c>
      <c r="V118">
        <f>_xlfn.XLOOKUP($A118,'2020-2021'!$B$4:$B$23,'2020-2021'!W$4:W$23)</f>
        <v>125</v>
      </c>
      <c r="W118">
        <f>_xlfn.XLOOKUP($A118,'2020-2021'!$B$4:$B$23,'2020-2021'!X$4:X$23)</f>
        <v>824</v>
      </c>
      <c r="X118">
        <f>_xlfn.XLOOKUP($A118,'2020-2021'!$B$4:$B$23,'2020-2021'!Y$4:Y$23)</f>
        <v>507</v>
      </c>
      <c r="Y118">
        <f>_xlfn.XLOOKUP($A118,'2020-2021'!$B$4:$B$23,'2020-2021'!Z$4:Z$23)</f>
        <v>384</v>
      </c>
      <c r="Z118">
        <f>_xlfn.XLOOKUP($A118,'2020-2021'!$B$4:$B$23,'2020-2021'!AA$4:AA$23)</f>
        <v>10825</v>
      </c>
      <c r="AA118">
        <f>_xlfn.XLOOKUP($A118,'2020-2021'!$B$4:$B$23,'2020-2021'!AB$4:AB$23)</f>
        <v>10</v>
      </c>
      <c r="AB118">
        <f>_xlfn.XLOOKUP($A118,'2020-2021'!$B$4:$B$23,'2020-2021'!AC$4:AC$23)</f>
        <v>2344</v>
      </c>
      <c r="AC118">
        <f>_xlfn.XLOOKUP($A118,'2020-2021'!$B$4:$B$23,'2020-2021'!AD$4:AD$23)</f>
        <v>772</v>
      </c>
      <c r="AD118">
        <f>_xlfn.XLOOKUP($A118,'2020-2021'!$B$4:$B$23,'2020-2021'!AE$4:AE$23)</f>
        <v>172</v>
      </c>
      <c r="AE118">
        <f>_xlfn.XLOOKUP($A118,'2020-2021'!$B$4:$B$23,'2020-2021'!AF$4:AF$23)</f>
        <v>1.1000000000000001</v>
      </c>
      <c r="AF118">
        <f>_xlfn.XLOOKUP($A118,'2020-2021'!$B$4:$B$23,'2020-2021'!AG$4:AG$23)</f>
        <v>2.2999999999999998</v>
      </c>
      <c r="AG118">
        <f>_xlfn.XLOOKUP($A118,'2020-2021'!$B$4:$B$23,'2020-2021'!AH$4:AH$23)</f>
        <v>6</v>
      </c>
      <c r="AH118">
        <f>_xlfn.XLOOKUP($A118,'2020-2021'!$B$4:$B$23,'2020-2021'!AI$4:AI$23)</f>
        <v>6</v>
      </c>
      <c r="AI118">
        <f>_xlfn.XLOOKUP($A118,'2020-2021'!$B$4:$B$23,'2020-2021'!AJ$4:AJ$23)</f>
        <v>132.30000000000001</v>
      </c>
      <c r="AJ118">
        <f>_xlfn.XLOOKUP($A118,'2020-2021'!$B$4:$B$23,'2020-2021'!AK$4:AK$23)</f>
        <v>32</v>
      </c>
      <c r="AK118">
        <f>_xlfn.XLOOKUP($A118,'2020-2021'!$B$4:$B$23,'2020-2021'!AL$4:AL$23)</f>
        <v>4.1343750000000004</v>
      </c>
      <c r="AL118">
        <f>_xlfn.XLOOKUP($A118,'2020-2021'!$B$4:$B$23,'2020-2021'!AM$4:AM$23)</f>
        <v>178</v>
      </c>
      <c r="AM118">
        <f>_xlfn.XLOOKUP($A118,'2020-2021'!$B$4:$B$23,'2020-2021'!AN$4:AN$23)</f>
        <v>-7.0000000000000007E-2</v>
      </c>
      <c r="AN118">
        <f>_xlfn.XLOOKUP($A118,'2020-2021'!$B$4:$B$23,'2020-2021'!AO$4:AO$23)</f>
        <v>0</v>
      </c>
      <c r="AO118">
        <f>_xlfn.XLOOKUP($A118,'2020-2021'!$B$4:$B$23,'2020-2021'!AP$4:AP$23)</f>
        <v>0</v>
      </c>
      <c r="AP118">
        <f>_xlfn.XLOOKUP($A118,'2020-2021'!$B$4:$B$23,'2020-2021'!AQ$4:AQ$23)</f>
        <v>0</v>
      </c>
      <c r="AQ118">
        <f>_xlfn.XLOOKUP($A118,'2020-2021'!$B$4:$B$23,'2020-2021'!AR$4:AR$23)</f>
        <v>0</v>
      </c>
      <c r="AR118">
        <f>_xlfn.XLOOKUP($A118,'2020-2021'!$B$4:$B$23,'2020-2021'!AS$4:AS$23)</f>
        <v>0</v>
      </c>
      <c r="AS118" t="str">
        <f>_xlfn.XLOOKUP($A118,'2020-2021'!$B$4:$B$23,'2020-2021'!AT$4:AT$23)</f>
        <v>20/21</v>
      </c>
    </row>
    <row r="119" spans="1:45" x14ac:dyDescent="0.25">
      <c r="A119">
        <v>18</v>
      </c>
      <c r="B119" t="str">
        <f>_xlfn.XLOOKUP($A119,'2020-2021'!$B$4:$B$23,'2020-2021'!C$4:C$23)</f>
        <v>Fulham</v>
      </c>
      <c r="C119">
        <f>_xlfn.XLOOKUP($A119,'2020-2021'!$B$4:$B$23,'2020-2021'!D$4:D$23)</f>
        <v>27</v>
      </c>
      <c r="D119">
        <f>_xlfn.XLOOKUP($A119,'2020-2021'!$B$4:$B$23,'2020-2021'!E$4:E$23)</f>
        <v>53</v>
      </c>
      <c r="E119">
        <f>_xlfn.XLOOKUP($A119,'2020-2021'!$B$4:$B$23,'2020-2021'!F$4:F$23)</f>
        <v>-26</v>
      </c>
      <c r="F119">
        <f>_xlfn.XLOOKUP($A119,'2020-2021'!$B$4:$B$23,'2020-2021'!G$4:G$23)</f>
        <v>9</v>
      </c>
      <c r="G119">
        <f>_xlfn.XLOOKUP($A119,'2020-2021'!$B$4:$B$23,'2020-2021'!H$4:H$23)</f>
        <v>67</v>
      </c>
      <c r="H119">
        <f>_xlfn.XLOOKUP($A119,'2020-2021'!$B$4:$B$23,'2020-2021'!I$4:I$23)</f>
        <v>3</v>
      </c>
      <c r="I119">
        <f>_xlfn.XLOOKUP($A119,'2020-2021'!$B$4:$B$23,'2020-2021'!J$4:J$23)</f>
        <v>40.5</v>
      </c>
      <c r="J119">
        <f>_xlfn.XLOOKUP($A119,'2020-2021'!$B$4:$B$23,'2020-2021'!K$4:K$23)</f>
        <v>52.6</v>
      </c>
      <c r="K119">
        <f>_xlfn.XLOOKUP($A119,'2020-2021'!$B$4:$B$23,'2020-2021'!L$4:L$23)</f>
        <v>-13.5</v>
      </c>
      <c r="L119">
        <f>_xlfn.XLOOKUP($A119,'2020-2021'!$B$4:$B$23,'2020-2021'!M$4:M$23)</f>
        <v>436</v>
      </c>
      <c r="M119">
        <f>_xlfn.XLOOKUP($A119,'2020-2021'!$B$4:$B$23,'2020-2021'!N$4:N$23)</f>
        <v>125</v>
      </c>
      <c r="N119">
        <f>_xlfn.XLOOKUP($A119,'2020-2021'!$B$4:$B$23,'2020-2021'!O$4:O$23)</f>
        <v>3</v>
      </c>
      <c r="O119">
        <f>_xlfn.XLOOKUP($A119,'2020-2021'!$B$4:$B$23,'2020-2021'!P$4:P$23)</f>
        <v>5</v>
      </c>
      <c r="P119">
        <f>_xlfn.XLOOKUP($A119,'2020-2021'!$B$4:$B$23,'2020-2021'!Q$4:Q$23)</f>
        <v>25</v>
      </c>
      <c r="Q119">
        <f>_xlfn.XLOOKUP($A119,'2020-2021'!$B$4:$B$23,'2020-2021'!R$4:R$23)</f>
        <v>2</v>
      </c>
      <c r="R119">
        <f>_xlfn.XLOOKUP($A119,'2020-2021'!$B$4:$B$23,'2020-2021'!S$4:S$23)</f>
        <v>1</v>
      </c>
      <c r="S119">
        <f>_xlfn.XLOOKUP($A119,'2020-2021'!$B$4:$B$23,'2020-2021'!T$4:T$23)</f>
        <v>43</v>
      </c>
      <c r="T119">
        <f>_xlfn.XLOOKUP($A119,'2020-2021'!$B$4:$B$23,'2020-2021'!U$4:U$23)</f>
        <v>1</v>
      </c>
      <c r="U119">
        <f>_xlfn.XLOOKUP($A119,'2020-2021'!$B$4:$B$23,'2020-2021'!V$4:V$23)</f>
        <v>7</v>
      </c>
      <c r="V119">
        <f>_xlfn.XLOOKUP($A119,'2020-2021'!$B$4:$B$23,'2020-2021'!W$4:W$23)</f>
        <v>118</v>
      </c>
      <c r="W119">
        <f>_xlfn.XLOOKUP($A119,'2020-2021'!$B$4:$B$23,'2020-2021'!X$4:X$23)</f>
        <v>794</v>
      </c>
      <c r="X119">
        <f>_xlfn.XLOOKUP($A119,'2020-2021'!$B$4:$B$23,'2020-2021'!Y$4:Y$23)</f>
        <v>601</v>
      </c>
      <c r="Y119">
        <f>_xlfn.XLOOKUP($A119,'2020-2021'!$B$4:$B$23,'2020-2021'!Z$4:Z$23)</f>
        <v>484</v>
      </c>
      <c r="Z119">
        <f>_xlfn.XLOOKUP($A119,'2020-2021'!$B$4:$B$23,'2020-2021'!AA$4:AA$23)</f>
        <v>15401</v>
      </c>
      <c r="AA119">
        <f>_xlfn.XLOOKUP($A119,'2020-2021'!$B$4:$B$23,'2020-2021'!AB$4:AB$23)</f>
        <v>17</v>
      </c>
      <c r="AB119">
        <f>_xlfn.XLOOKUP($A119,'2020-2021'!$B$4:$B$23,'2020-2021'!AC$4:AC$23)</f>
        <v>2823</v>
      </c>
      <c r="AC119">
        <f>_xlfn.XLOOKUP($A119,'2020-2021'!$B$4:$B$23,'2020-2021'!AD$4:AD$23)</f>
        <v>710</v>
      </c>
      <c r="AD119">
        <f>_xlfn.XLOOKUP($A119,'2020-2021'!$B$4:$B$23,'2020-2021'!AE$4:AE$23)</f>
        <v>164</v>
      </c>
      <c r="AE119">
        <f>_xlfn.XLOOKUP($A119,'2020-2021'!$B$4:$B$23,'2020-2021'!AF$4:AF$23)</f>
        <v>37.25</v>
      </c>
      <c r="AF119">
        <f>_xlfn.XLOOKUP($A119,'2020-2021'!$B$4:$B$23,'2020-2021'!AG$4:AG$23)</f>
        <v>0</v>
      </c>
      <c r="AG119">
        <f>_xlfn.XLOOKUP($A119,'2020-2021'!$B$4:$B$23,'2020-2021'!AH$4:AH$23)</f>
        <v>23</v>
      </c>
      <c r="AH119">
        <f>_xlfn.XLOOKUP($A119,'2020-2021'!$B$4:$B$23,'2020-2021'!AI$4:AI$23)</f>
        <v>18</v>
      </c>
      <c r="AI119">
        <f>_xlfn.XLOOKUP($A119,'2020-2021'!$B$4:$B$23,'2020-2021'!AJ$4:AJ$23)</f>
        <v>239.75</v>
      </c>
      <c r="AJ119">
        <f>_xlfn.XLOOKUP($A119,'2020-2021'!$B$4:$B$23,'2020-2021'!AK$4:AK$23)</f>
        <v>38</v>
      </c>
      <c r="AK119">
        <f>_xlfn.XLOOKUP($A119,'2020-2021'!$B$4:$B$23,'2020-2021'!AL$4:AL$23)</f>
        <v>6.3092105263157894</v>
      </c>
      <c r="AL119">
        <f>_xlfn.XLOOKUP($A119,'2020-2021'!$B$4:$B$23,'2020-2021'!AM$4:AM$23)</f>
        <v>211</v>
      </c>
      <c r="AM119">
        <f>_xlfn.XLOOKUP($A119,'2020-2021'!$B$4:$B$23,'2020-2021'!AN$4:AN$23)</f>
        <v>-0.2</v>
      </c>
      <c r="AN119">
        <f>_xlfn.XLOOKUP($A119,'2020-2021'!$B$4:$B$23,'2020-2021'!AO$4:AO$23)</f>
        <v>0</v>
      </c>
      <c r="AO119">
        <f>_xlfn.XLOOKUP($A119,'2020-2021'!$B$4:$B$23,'2020-2021'!AP$4:AP$23)</f>
        <v>1</v>
      </c>
      <c r="AP119">
        <f>_xlfn.XLOOKUP($A119,'2020-2021'!$B$4:$B$23,'2020-2021'!AQ$4:AQ$23)</f>
        <v>0</v>
      </c>
      <c r="AQ119">
        <f>_xlfn.XLOOKUP($A119,'2020-2021'!$B$4:$B$23,'2020-2021'!AR$4:AR$23)</f>
        <v>1</v>
      </c>
      <c r="AR119">
        <f>_xlfn.XLOOKUP($A119,'2020-2021'!$B$4:$B$23,'2020-2021'!AS$4:AS$23)</f>
        <v>0</v>
      </c>
      <c r="AS119" t="str">
        <f>_xlfn.XLOOKUP($A119,'2020-2021'!$B$4:$B$23,'2020-2021'!AT$4:AT$23)</f>
        <v>20/21</v>
      </c>
    </row>
    <row r="120" spans="1:45" x14ac:dyDescent="0.25">
      <c r="A120">
        <v>19</v>
      </c>
      <c r="B120" t="str">
        <f>_xlfn.XLOOKUP($A120,'2020-2021'!$B$4:$B$23,'2020-2021'!C$4:C$23)</f>
        <v>West Bromwich Albion</v>
      </c>
      <c r="C120">
        <f>_xlfn.XLOOKUP($A120,'2020-2021'!$B$4:$B$23,'2020-2021'!D$4:D$23)</f>
        <v>35</v>
      </c>
      <c r="D120">
        <f>_xlfn.XLOOKUP($A120,'2020-2021'!$B$4:$B$23,'2020-2021'!E$4:E$23)</f>
        <v>76</v>
      </c>
      <c r="E120">
        <f>_xlfn.XLOOKUP($A120,'2020-2021'!$B$4:$B$23,'2020-2021'!F$4:F$23)</f>
        <v>-41</v>
      </c>
      <c r="F120">
        <f>_xlfn.XLOOKUP($A120,'2020-2021'!$B$4:$B$23,'2020-2021'!G$4:G$23)</f>
        <v>6</v>
      </c>
      <c r="G120">
        <f>_xlfn.XLOOKUP($A120,'2020-2021'!$B$4:$B$23,'2020-2021'!H$4:H$23)</f>
        <v>51</v>
      </c>
      <c r="H120">
        <f>_xlfn.XLOOKUP($A120,'2020-2021'!$B$4:$B$23,'2020-2021'!I$4:I$23)</f>
        <v>4</v>
      </c>
      <c r="I120">
        <f>_xlfn.XLOOKUP($A120,'2020-2021'!$B$4:$B$23,'2020-2021'!J$4:J$23)</f>
        <v>35.799999999999997</v>
      </c>
      <c r="J120">
        <f>_xlfn.XLOOKUP($A120,'2020-2021'!$B$4:$B$23,'2020-2021'!K$4:K$23)</f>
        <v>67.900000000000006</v>
      </c>
      <c r="K120">
        <f>_xlfn.XLOOKUP($A120,'2020-2021'!$B$4:$B$23,'2020-2021'!L$4:L$23)</f>
        <v>-0.79999999999999716</v>
      </c>
      <c r="L120">
        <f>_xlfn.XLOOKUP($A120,'2020-2021'!$B$4:$B$23,'2020-2021'!M$4:M$23)</f>
        <v>335</v>
      </c>
      <c r="M120">
        <f>_xlfn.XLOOKUP($A120,'2020-2021'!$B$4:$B$23,'2020-2021'!N$4:N$23)</f>
        <v>106</v>
      </c>
      <c r="N120">
        <f>_xlfn.XLOOKUP($A120,'2020-2021'!$B$4:$B$23,'2020-2021'!O$4:O$23)</f>
        <v>4</v>
      </c>
      <c r="O120">
        <f>_xlfn.XLOOKUP($A120,'2020-2021'!$B$4:$B$23,'2020-2021'!P$4:P$23)</f>
        <v>5</v>
      </c>
      <c r="P120">
        <f>_xlfn.XLOOKUP($A120,'2020-2021'!$B$4:$B$23,'2020-2021'!Q$4:Q$23)</f>
        <v>27</v>
      </c>
      <c r="Q120">
        <f>_xlfn.XLOOKUP($A120,'2020-2021'!$B$4:$B$23,'2020-2021'!R$4:R$23)</f>
        <v>8</v>
      </c>
      <c r="R120">
        <f>_xlfn.XLOOKUP($A120,'2020-2021'!$B$4:$B$23,'2020-2021'!S$4:S$23)</f>
        <v>2</v>
      </c>
      <c r="S120">
        <f>_xlfn.XLOOKUP($A120,'2020-2021'!$B$4:$B$23,'2020-2021'!T$4:T$23)</f>
        <v>75</v>
      </c>
      <c r="T120">
        <f>_xlfn.XLOOKUP($A120,'2020-2021'!$B$4:$B$23,'2020-2021'!U$4:U$23)</f>
        <v>3</v>
      </c>
      <c r="U120">
        <f>_xlfn.XLOOKUP($A120,'2020-2021'!$B$4:$B$23,'2020-2021'!V$4:V$23)</f>
        <v>11</v>
      </c>
      <c r="V120">
        <f>_xlfn.XLOOKUP($A120,'2020-2021'!$B$4:$B$23,'2020-2021'!W$4:W$23)</f>
        <v>166</v>
      </c>
      <c r="W120">
        <f>_xlfn.XLOOKUP($A120,'2020-2021'!$B$4:$B$23,'2020-2021'!X$4:X$23)</f>
        <v>876</v>
      </c>
      <c r="X120">
        <f>_xlfn.XLOOKUP($A120,'2020-2021'!$B$4:$B$23,'2020-2021'!Y$4:Y$23)</f>
        <v>581</v>
      </c>
      <c r="Y120">
        <f>_xlfn.XLOOKUP($A120,'2020-2021'!$B$4:$B$23,'2020-2021'!Z$4:Z$23)</f>
        <v>404</v>
      </c>
      <c r="Z120">
        <f>_xlfn.XLOOKUP($A120,'2020-2021'!$B$4:$B$23,'2020-2021'!AA$4:AA$23)</f>
        <v>9769</v>
      </c>
      <c r="AA120">
        <f>_xlfn.XLOOKUP($A120,'2020-2021'!$B$4:$B$23,'2020-2021'!AB$4:AB$23)</f>
        <v>13</v>
      </c>
      <c r="AB120">
        <f>_xlfn.XLOOKUP($A120,'2020-2021'!$B$4:$B$23,'2020-2021'!AC$4:AC$23)</f>
        <v>1961</v>
      </c>
      <c r="AC120">
        <f>_xlfn.XLOOKUP($A120,'2020-2021'!$B$4:$B$23,'2020-2021'!AD$4:AD$23)</f>
        <v>604</v>
      </c>
      <c r="AD120">
        <f>_xlfn.XLOOKUP($A120,'2020-2021'!$B$4:$B$23,'2020-2021'!AE$4:AE$23)</f>
        <v>144</v>
      </c>
      <c r="AE120">
        <f>_xlfn.XLOOKUP($A120,'2020-2021'!$B$4:$B$23,'2020-2021'!AF$4:AF$23)</f>
        <v>42.14</v>
      </c>
      <c r="AF120">
        <f>_xlfn.XLOOKUP($A120,'2020-2021'!$B$4:$B$23,'2020-2021'!AG$4:AG$23)</f>
        <v>8.1</v>
      </c>
      <c r="AG120">
        <f>_xlfn.XLOOKUP($A120,'2020-2021'!$B$4:$B$23,'2020-2021'!AH$4:AH$23)</f>
        <v>21</v>
      </c>
      <c r="AH120">
        <f>_xlfn.XLOOKUP($A120,'2020-2021'!$B$4:$B$23,'2020-2021'!AI$4:AI$23)</f>
        <v>21</v>
      </c>
      <c r="AI120">
        <f>_xlfn.XLOOKUP($A120,'2020-2021'!$B$4:$B$23,'2020-2021'!AJ$4:AJ$23)</f>
        <v>141.15</v>
      </c>
      <c r="AJ120">
        <f>_xlfn.XLOOKUP($A120,'2020-2021'!$B$4:$B$23,'2020-2021'!AK$4:AK$23)</f>
        <v>43</v>
      </c>
      <c r="AK120">
        <f>_xlfn.XLOOKUP($A120,'2020-2021'!$B$4:$B$23,'2020-2021'!AL$4:AL$23)</f>
        <v>3.282558139534884</v>
      </c>
      <c r="AL120">
        <f>_xlfn.XLOOKUP($A120,'2020-2021'!$B$4:$B$23,'2020-2021'!AM$4:AM$23)</f>
        <v>283</v>
      </c>
      <c r="AM120">
        <f>_xlfn.XLOOKUP($A120,'2020-2021'!$B$4:$B$23,'2020-2021'!AN$4:AN$23)</f>
        <v>-0.08</v>
      </c>
      <c r="AN120">
        <f>_xlfn.XLOOKUP($A120,'2020-2021'!$B$4:$B$23,'2020-2021'!AO$4:AO$23)</f>
        <v>0</v>
      </c>
      <c r="AO120">
        <f>_xlfn.XLOOKUP($A120,'2020-2021'!$B$4:$B$23,'2020-2021'!AP$4:AP$23)</f>
        <v>1</v>
      </c>
      <c r="AP120">
        <f>_xlfn.XLOOKUP($A120,'2020-2021'!$B$4:$B$23,'2020-2021'!AQ$4:AQ$23)</f>
        <v>0</v>
      </c>
      <c r="AQ120">
        <f>_xlfn.XLOOKUP($A120,'2020-2021'!$B$4:$B$23,'2020-2021'!AR$4:AR$23)</f>
        <v>1</v>
      </c>
      <c r="AR120">
        <f>_xlfn.XLOOKUP($A120,'2020-2021'!$B$4:$B$23,'2020-2021'!AS$4:AS$23)</f>
        <v>0</v>
      </c>
      <c r="AS120" t="str">
        <f>_xlfn.XLOOKUP($A120,'2020-2021'!$B$4:$B$23,'2020-2021'!AT$4:AT$23)</f>
        <v>20/21</v>
      </c>
    </row>
    <row r="121" spans="1:45" x14ac:dyDescent="0.25">
      <c r="A121">
        <v>20</v>
      </c>
      <c r="B121" t="str">
        <f>_xlfn.XLOOKUP($A121,'2020-2021'!$B$4:$B$23,'2020-2021'!C$4:C$23)</f>
        <v>Sheffield United</v>
      </c>
      <c r="C121">
        <f>_xlfn.XLOOKUP($A121,'2020-2021'!$B$4:$B$23,'2020-2021'!D$4:D$23)</f>
        <v>20</v>
      </c>
      <c r="D121">
        <f>_xlfn.XLOOKUP($A121,'2020-2021'!$B$4:$B$23,'2020-2021'!E$4:E$23)</f>
        <v>63</v>
      </c>
      <c r="E121">
        <f>_xlfn.XLOOKUP($A121,'2020-2021'!$B$4:$B$23,'2020-2021'!F$4:F$23)</f>
        <v>-43</v>
      </c>
      <c r="F121">
        <f>_xlfn.XLOOKUP($A121,'2020-2021'!$B$4:$B$23,'2020-2021'!G$4:G$23)</f>
        <v>5</v>
      </c>
      <c r="G121">
        <f>_xlfn.XLOOKUP($A121,'2020-2021'!$B$4:$B$23,'2020-2021'!H$4:H$23)</f>
        <v>73</v>
      </c>
      <c r="H121">
        <f>_xlfn.XLOOKUP($A121,'2020-2021'!$B$4:$B$23,'2020-2021'!I$4:I$23)</f>
        <v>3</v>
      </c>
      <c r="I121">
        <f>_xlfn.XLOOKUP($A121,'2020-2021'!$B$4:$B$23,'2020-2021'!J$4:J$23)</f>
        <v>32.6</v>
      </c>
      <c r="J121">
        <f>_xlfn.XLOOKUP($A121,'2020-2021'!$B$4:$B$23,'2020-2021'!K$4:K$23)</f>
        <v>62.2</v>
      </c>
      <c r="K121">
        <f>_xlfn.XLOOKUP($A121,'2020-2021'!$B$4:$B$23,'2020-2021'!L$4:L$23)</f>
        <v>-12.600000000000001</v>
      </c>
      <c r="L121">
        <f>_xlfn.XLOOKUP($A121,'2020-2021'!$B$4:$B$23,'2020-2021'!M$4:M$23)</f>
        <v>319</v>
      </c>
      <c r="M121">
        <f>_xlfn.XLOOKUP($A121,'2020-2021'!$B$4:$B$23,'2020-2021'!N$4:N$23)</f>
        <v>92</v>
      </c>
      <c r="N121">
        <f>_xlfn.XLOOKUP($A121,'2020-2021'!$B$4:$B$23,'2020-2021'!O$4:O$23)</f>
        <v>3</v>
      </c>
      <c r="O121">
        <f>_xlfn.XLOOKUP($A121,'2020-2021'!$B$4:$B$23,'2020-2021'!P$4:P$23)</f>
        <v>4</v>
      </c>
      <c r="P121">
        <f>_xlfn.XLOOKUP($A121,'2020-2021'!$B$4:$B$23,'2020-2021'!Q$4:Q$23)</f>
        <v>18</v>
      </c>
      <c r="Q121">
        <f>_xlfn.XLOOKUP($A121,'2020-2021'!$B$4:$B$23,'2020-2021'!R$4:R$23)</f>
        <v>2</v>
      </c>
      <c r="R121">
        <f>_xlfn.XLOOKUP($A121,'2020-2021'!$B$4:$B$23,'2020-2021'!S$4:S$23)</f>
        <v>0</v>
      </c>
      <c r="S121">
        <f>_xlfn.XLOOKUP($A121,'2020-2021'!$B$4:$B$23,'2020-2021'!T$4:T$23)</f>
        <v>73</v>
      </c>
      <c r="T121">
        <f>_xlfn.XLOOKUP($A121,'2020-2021'!$B$4:$B$23,'2020-2021'!U$4:U$23)</f>
        <v>3</v>
      </c>
      <c r="U121">
        <f>_xlfn.XLOOKUP($A121,'2020-2021'!$B$4:$B$23,'2020-2021'!V$4:V$23)</f>
        <v>4</v>
      </c>
      <c r="V121">
        <f>_xlfn.XLOOKUP($A121,'2020-2021'!$B$4:$B$23,'2020-2021'!W$4:W$23)</f>
        <v>145</v>
      </c>
      <c r="W121">
        <f>_xlfn.XLOOKUP($A121,'2020-2021'!$B$4:$B$23,'2020-2021'!X$4:X$23)</f>
        <v>839</v>
      </c>
      <c r="X121">
        <f>_xlfn.XLOOKUP($A121,'2020-2021'!$B$4:$B$23,'2020-2021'!Y$4:Y$23)</f>
        <v>634</v>
      </c>
      <c r="Y121">
        <f>_xlfn.XLOOKUP($A121,'2020-2021'!$B$4:$B$23,'2020-2021'!Z$4:Z$23)</f>
        <v>459</v>
      </c>
      <c r="Z121">
        <f>_xlfn.XLOOKUP($A121,'2020-2021'!$B$4:$B$23,'2020-2021'!AA$4:AA$23)</f>
        <v>12146</v>
      </c>
      <c r="AA121">
        <f>_xlfn.XLOOKUP($A121,'2020-2021'!$B$4:$B$23,'2020-2021'!AB$4:AB$23)</f>
        <v>13</v>
      </c>
      <c r="AB121">
        <f>_xlfn.XLOOKUP($A121,'2020-2021'!$B$4:$B$23,'2020-2021'!AC$4:AC$23)</f>
        <v>2405</v>
      </c>
      <c r="AC121">
        <f>_xlfn.XLOOKUP($A121,'2020-2021'!$B$4:$B$23,'2020-2021'!AD$4:AD$23)</f>
        <v>666</v>
      </c>
      <c r="AD121">
        <f>_xlfn.XLOOKUP($A121,'2020-2021'!$B$4:$B$23,'2020-2021'!AE$4:AE$23)</f>
        <v>170</v>
      </c>
      <c r="AE121">
        <f>_xlfn.XLOOKUP($A121,'2020-2021'!$B$4:$B$23,'2020-2021'!AF$4:AF$23)</f>
        <v>62.7</v>
      </c>
      <c r="AF121">
        <f>_xlfn.XLOOKUP($A121,'2020-2021'!$B$4:$B$23,'2020-2021'!AG$4:AG$23)</f>
        <v>0</v>
      </c>
      <c r="AG121">
        <f>_xlfn.XLOOKUP($A121,'2020-2021'!$B$4:$B$23,'2020-2021'!AH$4:AH$23)</f>
        <v>16</v>
      </c>
      <c r="AH121">
        <f>_xlfn.XLOOKUP($A121,'2020-2021'!$B$4:$B$23,'2020-2021'!AI$4:AI$23)</f>
        <v>19</v>
      </c>
      <c r="AI121">
        <f>_xlfn.XLOOKUP($A121,'2020-2021'!$B$4:$B$23,'2020-2021'!AJ$4:AJ$23)</f>
        <v>149.85</v>
      </c>
      <c r="AJ121">
        <f>_xlfn.XLOOKUP($A121,'2020-2021'!$B$4:$B$23,'2020-2021'!AK$4:AK$23)</f>
        <v>40</v>
      </c>
      <c r="AK121">
        <f>_xlfn.XLOOKUP($A121,'2020-2021'!$B$4:$B$23,'2020-2021'!AL$4:AL$23)</f>
        <v>3.7462499999999999</v>
      </c>
      <c r="AL121">
        <f>_xlfn.XLOOKUP($A121,'2020-2021'!$B$4:$B$23,'2020-2021'!AM$4:AM$23)</f>
        <v>263</v>
      </c>
      <c r="AM121">
        <f>_xlfn.XLOOKUP($A121,'2020-2021'!$B$4:$B$23,'2020-2021'!AN$4:AN$23)</f>
        <v>0.17</v>
      </c>
      <c r="AN121">
        <f>_xlfn.XLOOKUP($A121,'2020-2021'!$B$4:$B$23,'2020-2021'!AO$4:AO$23)</f>
        <v>0</v>
      </c>
      <c r="AO121">
        <f>_xlfn.XLOOKUP($A121,'2020-2021'!$B$4:$B$23,'2020-2021'!AP$4:AP$23)</f>
        <v>0</v>
      </c>
      <c r="AP121">
        <f>_xlfn.XLOOKUP($A121,'2020-2021'!$B$4:$B$23,'2020-2021'!AQ$4:AQ$23)</f>
        <v>0</v>
      </c>
      <c r="AQ121">
        <f>_xlfn.XLOOKUP($A121,'2020-2021'!$B$4:$B$23,'2020-2021'!AR$4:AR$23)</f>
        <v>1</v>
      </c>
      <c r="AR121">
        <f>_xlfn.XLOOKUP($A121,'2020-2021'!$B$4:$B$23,'2020-2021'!AS$4:AS$23)</f>
        <v>0</v>
      </c>
      <c r="AS121" t="str">
        <f>_xlfn.XLOOKUP($A121,'2020-2021'!$B$4:$B$23,'2020-2021'!AT$4:AT$23)</f>
        <v>20/21</v>
      </c>
    </row>
    <row r="122" spans="1:45" x14ac:dyDescent="0.25">
      <c r="A122">
        <v>1</v>
      </c>
      <c r="B122" t="str">
        <f>_xlfn.XLOOKUP($A122,'2021-2022'!$B$4:$B$23,'2021-2022'!C$4:C$23)</f>
        <v>Manchester City</v>
      </c>
      <c r="C122">
        <f>_xlfn.XLOOKUP($A122,'2021-2022'!$B$4:$B$23,'2021-2022'!D$4:D$23)</f>
        <v>99</v>
      </c>
      <c r="D122">
        <f>_xlfn.XLOOKUP($A122,'2021-2022'!$B$4:$B$23,'2021-2022'!E$4:E$23)</f>
        <v>26</v>
      </c>
      <c r="E122">
        <f>_xlfn.XLOOKUP($A122,'2021-2022'!$B$4:$B$23,'2021-2022'!F$4:F$23)</f>
        <v>73</v>
      </c>
      <c r="F122">
        <f>_xlfn.XLOOKUP($A122,'2021-2022'!$B$4:$B$23,'2021-2022'!G$4:G$23)</f>
        <v>21</v>
      </c>
      <c r="G122">
        <f>_xlfn.XLOOKUP($A122,'2021-2022'!$B$4:$B$23,'2021-2022'!H$4:H$23)</f>
        <v>42</v>
      </c>
      <c r="H122">
        <f>_xlfn.XLOOKUP($A122,'2021-2022'!$B$4:$B$23,'2021-2022'!I$4:I$23)</f>
        <v>1</v>
      </c>
      <c r="I122">
        <f>_xlfn.XLOOKUP($A122,'2021-2022'!$B$4:$B$23,'2021-2022'!J$4:J$23)</f>
        <v>88.7</v>
      </c>
      <c r="J122">
        <f>_xlfn.XLOOKUP($A122,'2021-2022'!$B$4:$B$23,'2021-2022'!K$4:K$23)</f>
        <v>24.6</v>
      </c>
      <c r="K122">
        <f>_xlfn.XLOOKUP($A122,'2021-2022'!$B$4:$B$23,'2021-2022'!L$4:L$23)</f>
        <v>10.299999999999997</v>
      </c>
      <c r="L122">
        <f>_xlfn.XLOOKUP($A122,'2021-2022'!$B$4:$B$23,'2021-2022'!M$4:M$23)</f>
        <v>704</v>
      </c>
      <c r="M122">
        <f>_xlfn.XLOOKUP($A122,'2021-2022'!$B$4:$B$23,'2021-2022'!N$4:N$23)</f>
        <v>237</v>
      </c>
      <c r="N122">
        <f>_xlfn.XLOOKUP($A122,'2021-2022'!$B$4:$B$23,'2021-2022'!O$4:O$23)</f>
        <v>7</v>
      </c>
      <c r="O122">
        <f>_xlfn.XLOOKUP($A122,'2021-2022'!$B$4:$B$23,'2021-2022'!P$4:P$23)</f>
        <v>15</v>
      </c>
      <c r="P122">
        <f>_xlfn.XLOOKUP($A122,'2021-2022'!$B$4:$B$23,'2021-2022'!Q$4:Q$23)</f>
        <v>84</v>
      </c>
      <c r="Q122">
        <f>_xlfn.XLOOKUP($A122,'2021-2022'!$B$4:$B$23,'2021-2022'!R$4:R$23)</f>
        <v>15</v>
      </c>
      <c r="R122">
        <f>_xlfn.XLOOKUP($A122,'2021-2022'!$B$4:$B$23,'2021-2022'!S$4:S$23)</f>
        <v>2</v>
      </c>
      <c r="S122">
        <f>_xlfn.XLOOKUP($A122,'2021-2022'!$B$4:$B$23,'2021-2022'!T$4:T$23)</f>
        <v>66</v>
      </c>
      <c r="T122">
        <f>_xlfn.XLOOKUP($A122,'2021-2022'!$B$4:$B$23,'2021-2022'!U$4:U$23)</f>
        <v>0</v>
      </c>
      <c r="U122">
        <f>_xlfn.XLOOKUP($A122,'2021-2022'!$B$4:$B$23,'2021-2022'!V$4:V$23)</f>
        <v>1</v>
      </c>
      <c r="V122">
        <f>_xlfn.XLOOKUP($A122,'2021-2022'!$B$4:$B$23,'2021-2022'!W$4:W$23)</f>
        <v>59</v>
      </c>
      <c r="W122">
        <f>_xlfn.XLOOKUP($A122,'2021-2022'!$B$4:$B$23,'2021-2022'!X$4:X$23)</f>
        <v>227</v>
      </c>
      <c r="X122">
        <f>_xlfn.XLOOKUP($A122,'2021-2022'!$B$4:$B$23,'2021-2022'!Y$4:Y$23)</f>
        <v>403</v>
      </c>
      <c r="Y122">
        <f>_xlfn.XLOOKUP($A122,'2021-2022'!$B$4:$B$23,'2021-2022'!Z$4:Z$23)</f>
        <v>321</v>
      </c>
      <c r="Z122">
        <f>_xlfn.XLOOKUP($A122,'2021-2022'!$B$4:$B$23,'2021-2022'!AA$4:AA$23)</f>
        <v>24406</v>
      </c>
      <c r="AA122">
        <f>_xlfn.XLOOKUP($A122,'2021-2022'!$B$4:$B$23,'2021-2022'!AB$4:AB$23)</f>
        <v>102</v>
      </c>
      <c r="AB122">
        <f>_xlfn.XLOOKUP($A122,'2021-2022'!$B$4:$B$23,'2021-2022'!AC$4:AC$23)</f>
        <v>4426</v>
      </c>
      <c r="AC122">
        <f>_xlfn.XLOOKUP($A122,'2021-2022'!$B$4:$B$23,'2021-2022'!AD$4:AD$23)</f>
        <v>869</v>
      </c>
      <c r="AD122">
        <f>_xlfn.XLOOKUP($A122,'2021-2022'!$B$4:$B$23,'2021-2022'!AE$4:AE$23)</f>
        <v>316</v>
      </c>
      <c r="AE122">
        <f>_xlfn.XLOOKUP($A122,'2021-2022'!$B$4:$B$23,'2021-2022'!AF$4:AF$23)</f>
        <v>138.9</v>
      </c>
      <c r="AF122">
        <f>_xlfn.XLOOKUP($A122,'2021-2022'!$B$4:$B$23,'2021-2022'!AG$4:AG$23)</f>
        <v>93.8</v>
      </c>
      <c r="AG122">
        <f>_xlfn.XLOOKUP($A122,'2021-2022'!$B$4:$B$23,'2021-2022'!AH$4:AH$23)</f>
        <v>21</v>
      </c>
      <c r="AH122">
        <f>_xlfn.XLOOKUP($A122,'2021-2022'!$B$4:$B$23,'2021-2022'!AI$4:AI$23)</f>
        <v>24</v>
      </c>
      <c r="AI122">
        <f>_xlfn.XLOOKUP($A122,'2021-2022'!$B$4:$B$23,'2021-2022'!AJ$4:AJ$23)</f>
        <v>1000</v>
      </c>
      <c r="AJ122">
        <f>_xlfn.XLOOKUP($A122,'2021-2022'!$B$4:$B$23,'2021-2022'!AK$4:AK$23)</f>
        <v>39</v>
      </c>
      <c r="AK122">
        <f>_xlfn.XLOOKUP($A122,'2021-2022'!$B$4:$B$23,'2021-2022'!AL$4:AL$23)</f>
        <v>25.641025641025642</v>
      </c>
      <c r="AL122">
        <f>_xlfn.XLOOKUP($A122,'2021-2022'!$B$4:$B$23,'2021-2022'!AM$4:AM$23)</f>
        <v>52774</v>
      </c>
      <c r="AM122">
        <f>_xlfn.XLOOKUP($A122,'2021-2022'!$B$4:$B$23,'2021-2022'!AN$4:AN$23)</f>
        <v>0.01</v>
      </c>
      <c r="AN122">
        <f>_xlfn.XLOOKUP($A122,'2021-2022'!$B$4:$B$23,'2021-2022'!AO$4:AO$23)</f>
        <v>1</v>
      </c>
      <c r="AO122">
        <f>_xlfn.XLOOKUP($A122,'2021-2022'!$B$4:$B$23,'2021-2022'!AP$4:AP$23)</f>
        <v>0</v>
      </c>
      <c r="AP122">
        <f>_xlfn.XLOOKUP($A122,'2021-2022'!$B$4:$B$23,'2021-2022'!AQ$4:AQ$23)</f>
        <v>1</v>
      </c>
      <c r="AQ122">
        <f>_xlfn.XLOOKUP($A122,'2021-2022'!$B$4:$B$23,'2021-2022'!AR$4:AR$23)</f>
        <v>0</v>
      </c>
      <c r="AR122">
        <f>_xlfn.XLOOKUP($A122,'2021-2022'!$B$4:$B$23,'2021-2022'!AS$4:AS$23)</f>
        <v>1</v>
      </c>
      <c r="AS122" t="str">
        <f>_xlfn.XLOOKUP($A122,'2021-2022'!$B$4:$B$23,'2021-2022'!AT$4:AT$23)</f>
        <v>21/22</v>
      </c>
    </row>
    <row r="123" spans="1:45" x14ac:dyDescent="0.25">
      <c r="A123">
        <v>2</v>
      </c>
      <c r="B123" t="str">
        <f>_xlfn.XLOOKUP($A123,'2021-2022'!$B$4:$B$23,'2021-2022'!C$4:C$23)</f>
        <v>Liverpool</v>
      </c>
      <c r="C123">
        <f>_xlfn.XLOOKUP($A123,'2021-2022'!$B$4:$B$23,'2021-2022'!D$4:D$23)</f>
        <v>94</v>
      </c>
      <c r="D123">
        <f>_xlfn.XLOOKUP($A123,'2021-2022'!$B$4:$B$23,'2021-2022'!E$4:E$23)</f>
        <v>26</v>
      </c>
      <c r="E123">
        <f>_xlfn.XLOOKUP($A123,'2021-2022'!$B$4:$B$23,'2021-2022'!F$4:F$23)</f>
        <v>68</v>
      </c>
      <c r="F123">
        <f>_xlfn.XLOOKUP($A123,'2021-2022'!$B$4:$B$23,'2021-2022'!G$4:G$23)</f>
        <v>21</v>
      </c>
      <c r="G123">
        <f>_xlfn.XLOOKUP($A123,'2021-2022'!$B$4:$B$23,'2021-2022'!H$4:H$23)</f>
        <v>50</v>
      </c>
      <c r="H123">
        <f>_xlfn.XLOOKUP($A123,'2021-2022'!$B$4:$B$23,'2021-2022'!I$4:I$23)</f>
        <v>1</v>
      </c>
      <c r="I123">
        <f>_xlfn.XLOOKUP($A123,'2021-2022'!$B$4:$B$23,'2021-2022'!J$4:J$23)</f>
        <v>88.7</v>
      </c>
      <c r="J123">
        <f>_xlfn.XLOOKUP($A123,'2021-2022'!$B$4:$B$23,'2021-2022'!K$4:K$23)</f>
        <v>33.799999999999997</v>
      </c>
      <c r="K123">
        <f>_xlfn.XLOOKUP($A123,'2021-2022'!$B$4:$B$23,'2021-2022'!L$4:L$23)</f>
        <v>5.2999999999999972</v>
      </c>
      <c r="L123">
        <f>_xlfn.XLOOKUP($A123,'2021-2022'!$B$4:$B$23,'2021-2022'!M$4:M$23)</f>
        <v>721</v>
      </c>
      <c r="M123">
        <f>_xlfn.XLOOKUP($A123,'2021-2022'!$B$4:$B$23,'2021-2022'!N$4:N$23)</f>
        <v>237</v>
      </c>
      <c r="N123">
        <f>_xlfn.XLOOKUP($A123,'2021-2022'!$B$4:$B$23,'2021-2022'!O$4:O$23)</f>
        <v>7</v>
      </c>
      <c r="O123">
        <f>_xlfn.XLOOKUP($A123,'2021-2022'!$B$4:$B$23,'2021-2022'!P$4:P$23)</f>
        <v>16</v>
      </c>
      <c r="P123">
        <f>_xlfn.XLOOKUP($A123,'2021-2022'!$B$4:$B$23,'2021-2022'!Q$4:Q$23)</f>
        <v>86</v>
      </c>
      <c r="Q123">
        <f>_xlfn.XLOOKUP($A123,'2021-2022'!$B$4:$B$23,'2021-2022'!R$4:R$23)</f>
        <v>8</v>
      </c>
      <c r="R123">
        <f>_xlfn.XLOOKUP($A123,'2021-2022'!$B$4:$B$23,'2021-2022'!S$4:S$23)</f>
        <v>5</v>
      </c>
      <c r="S123">
        <f>_xlfn.XLOOKUP($A123,'2021-2022'!$B$4:$B$23,'2021-2022'!T$4:T$23)</f>
        <v>63</v>
      </c>
      <c r="T123">
        <f>_xlfn.XLOOKUP($A123,'2021-2022'!$B$4:$B$23,'2021-2022'!U$4:U$23)</f>
        <v>1</v>
      </c>
      <c r="U123">
        <f>_xlfn.XLOOKUP($A123,'2021-2022'!$B$4:$B$23,'2021-2022'!V$4:V$23)</f>
        <v>0</v>
      </c>
      <c r="V123">
        <f>_xlfn.XLOOKUP($A123,'2021-2022'!$B$4:$B$23,'2021-2022'!W$4:W$23)</f>
        <v>82</v>
      </c>
      <c r="W123">
        <f>_xlfn.XLOOKUP($A123,'2021-2022'!$B$4:$B$23,'2021-2022'!X$4:X$23)</f>
        <v>523</v>
      </c>
      <c r="X123">
        <f>_xlfn.XLOOKUP($A123,'2021-2022'!$B$4:$B$23,'2021-2022'!Y$4:Y$23)</f>
        <v>523</v>
      </c>
      <c r="Y123">
        <f>_xlfn.XLOOKUP($A123,'2021-2022'!$B$4:$B$23,'2021-2022'!Z$4:Z$23)</f>
        <v>363</v>
      </c>
      <c r="Z123">
        <f>_xlfn.XLOOKUP($A123,'2021-2022'!$B$4:$B$23,'2021-2022'!AA$4:AA$23)</f>
        <v>21163</v>
      </c>
      <c r="AA123">
        <f>_xlfn.XLOOKUP($A123,'2021-2022'!$B$4:$B$23,'2021-2022'!AB$4:AB$23)</f>
        <v>112</v>
      </c>
      <c r="AB123">
        <f>_xlfn.XLOOKUP($A123,'2021-2022'!$B$4:$B$23,'2021-2022'!AC$4:AC$23)</f>
        <v>3505</v>
      </c>
      <c r="AC123">
        <f>_xlfn.XLOOKUP($A123,'2021-2022'!$B$4:$B$23,'2021-2022'!AD$4:AD$23)</f>
        <v>897</v>
      </c>
      <c r="AD123">
        <f>_xlfn.XLOOKUP($A123,'2021-2022'!$B$4:$B$23,'2021-2022'!AE$4:AE$23)</f>
        <v>282</v>
      </c>
      <c r="AE123">
        <f>_xlfn.XLOOKUP($A123,'2021-2022'!$B$4:$B$23,'2021-2022'!AF$4:AF$23)</f>
        <v>87</v>
      </c>
      <c r="AF123">
        <f>_xlfn.XLOOKUP($A123,'2021-2022'!$B$4:$B$23,'2021-2022'!AG$4:AG$23)</f>
        <v>29.55</v>
      </c>
      <c r="AG123">
        <f>_xlfn.XLOOKUP($A123,'2021-2022'!$B$4:$B$23,'2021-2022'!AH$4:AH$23)</f>
        <v>14</v>
      </c>
      <c r="AH123">
        <f>_xlfn.XLOOKUP($A123,'2021-2022'!$B$4:$B$23,'2021-2022'!AI$4:AI$23)</f>
        <v>12</v>
      </c>
      <c r="AI123">
        <f>_xlfn.XLOOKUP($A123,'2021-2022'!$B$4:$B$23,'2021-2022'!AJ$4:AJ$23)</f>
        <v>918.9</v>
      </c>
      <c r="AJ123">
        <f>_xlfn.XLOOKUP($A123,'2021-2022'!$B$4:$B$23,'2021-2022'!AK$4:AK$23)</f>
        <v>49</v>
      </c>
      <c r="AK123">
        <f>_xlfn.XLOOKUP($A123,'2021-2022'!$B$4:$B$23,'2021-2022'!AL$4:AL$23)</f>
        <v>18.753061224489795</v>
      </c>
      <c r="AL123">
        <f>_xlfn.XLOOKUP($A123,'2021-2022'!$B$4:$B$23,'2021-2022'!AM$4:AM$23)</f>
        <v>53352</v>
      </c>
      <c r="AM123">
        <f>_xlfn.XLOOKUP($A123,'2021-2022'!$B$4:$B$23,'2021-2022'!AN$4:AN$23)</f>
        <v>0.18</v>
      </c>
      <c r="AN123">
        <f>_xlfn.XLOOKUP($A123,'2021-2022'!$B$4:$B$23,'2021-2022'!AO$4:AO$23)</f>
        <v>1</v>
      </c>
      <c r="AO123">
        <f>_xlfn.XLOOKUP($A123,'2021-2022'!$B$4:$B$23,'2021-2022'!AP$4:AP$23)</f>
        <v>0</v>
      </c>
      <c r="AP123">
        <f>_xlfn.XLOOKUP($A123,'2021-2022'!$B$4:$B$23,'2021-2022'!AQ$4:AQ$23)</f>
        <v>1</v>
      </c>
      <c r="AQ123">
        <f>_xlfn.XLOOKUP($A123,'2021-2022'!$B$4:$B$23,'2021-2022'!AR$4:AR$23)</f>
        <v>0</v>
      </c>
      <c r="AR123">
        <f>_xlfn.XLOOKUP($A123,'2021-2022'!$B$4:$B$23,'2021-2022'!AS$4:AS$23)</f>
        <v>1</v>
      </c>
      <c r="AS123" t="str">
        <f>_xlfn.XLOOKUP($A123,'2021-2022'!$B$4:$B$23,'2021-2022'!AT$4:AT$23)</f>
        <v>21/22</v>
      </c>
    </row>
    <row r="124" spans="1:45" x14ac:dyDescent="0.25">
      <c r="A124">
        <v>3</v>
      </c>
      <c r="B124" t="str">
        <f>_xlfn.XLOOKUP($A124,'2021-2022'!$B$4:$B$23,'2021-2022'!C$4:C$23)</f>
        <v>Chelsea</v>
      </c>
      <c r="C124">
        <f>_xlfn.XLOOKUP($A124,'2021-2022'!$B$4:$B$23,'2021-2022'!D$4:D$23)</f>
        <v>76</v>
      </c>
      <c r="D124">
        <f>_xlfn.XLOOKUP($A124,'2021-2022'!$B$4:$B$23,'2021-2022'!E$4:E$23)</f>
        <v>33</v>
      </c>
      <c r="E124">
        <f>_xlfn.XLOOKUP($A124,'2021-2022'!$B$4:$B$23,'2021-2022'!F$4:F$23)</f>
        <v>43</v>
      </c>
      <c r="F124">
        <f>_xlfn.XLOOKUP($A124,'2021-2022'!$B$4:$B$23,'2021-2022'!G$4:G$23)</f>
        <v>16</v>
      </c>
      <c r="G124">
        <f>_xlfn.XLOOKUP($A124,'2021-2022'!$B$4:$B$23,'2021-2022'!H$4:H$23)</f>
        <v>63</v>
      </c>
      <c r="H124">
        <f>_xlfn.XLOOKUP($A124,'2021-2022'!$B$4:$B$23,'2021-2022'!I$4:I$23)</f>
        <v>1</v>
      </c>
      <c r="I124">
        <f>_xlfn.XLOOKUP($A124,'2021-2022'!$B$4:$B$23,'2021-2022'!J$4:J$23)</f>
        <v>63.4</v>
      </c>
      <c r="J124">
        <f>_xlfn.XLOOKUP($A124,'2021-2022'!$B$4:$B$23,'2021-2022'!K$4:K$23)</f>
        <v>33.200000000000003</v>
      </c>
      <c r="K124">
        <f>_xlfn.XLOOKUP($A124,'2021-2022'!$B$4:$B$23,'2021-2022'!L$4:L$23)</f>
        <v>12.600000000000001</v>
      </c>
      <c r="L124">
        <f>_xlfn.XLOOKUP($A124,'2021-2022'!$B$4:$B$23,'2021-2022'!M$4:M$23)</f>
        <v>583</v>
      </c>
      <c r="M124">
        <f>_xlfn.XLOOKUP($A124,'2021-2022'!$B$4:$B$23,'2021-2022'!N$4:N$23)</f>
        <v>200</v>
      </c>
      <c r="N124">
        <f>_xlfn.XLOOKUP($A124,'2021-2022'!$B$4:$B$23,'2021-2022'!O$4:O$23)</f>
        <v>8</v>
      </c>
      <c r="O124">
        <f>_xlfn.XLOOKUP($A124,'2021-2022'!$B$4:$B$23,'2021-2022'!P$4:P$23)</f>
        <v>12</v>
      </c>
      <c r="P124">
        <f>_xlfn.XLOOKUP($A124,'2021-2022'!$B$4:$B$23,'2021-2022'!Q$4:Q$23)</f>
        <v>63</v>
      </c>
      <c r="Q124">
        <f>_xlfn.XLOOKUP($A124,'2021-2022'!$B$4:$B$23,'2021-2022'!R$4:R$23)</f>
        <v>14</v>
      </c>
      <c r="R124">
        <f>_xlfn.XLOOKUP($A124,'2021-2022'!$B$4:$B$23,'2021-2022'!S$4:S$23)</f>
        <v>0</v>
      </c>
      <c r="S124">
        <f>_xlfn.XLOOKUP($A124,'2021-2022'!$B$4:$B$23,'2021-2022'!T$4:T$23)</f>
        <v>69</v>
      </c>
      <c r="T124">
        <f>_xlfn.XLOOKUP($A124,'2021-2022'!$B$4:$B$23,'2021-2022'!U$4:U$23)</f>
        <v>1</v>
      </c>
      <c r="U124">
        <f>_xlfn.XLOOKUP($A124,'2021-2022'!$B$4:$B$23,'2021-2022'!V$4:V$23)</f>
        <v>6</v>
      </c>
      <c r="V124">
        <f>_xlfn.XLOOKUP($A124,'2021-2022'!$B$4:$B$23,'2021-2022'!W$4:W$23)</f>
        <v>83</v>
      </c>
      <c r="W124">
        <f>_xlfn.XLOOKUP($A124,'2021-2022'!$B$4:$B$23,'2021-2022'!X$4:X$23)</f>
        <v>641</v>
      </c>
      <c r="X124">
        <f>_xlfn.XLOOKUP($A124,'2021-2022'!$B$4:$B$23,'2021-2022'!Y$4:Y$23)</f>
        <v>641</v>
      </c>
      <c r="Y124">
        <f>_xlfn.XLOOKUP($A124,'2021-2022'!$B$4:$B$23,'2021-2022'!Z$4:Z$23)</f>
        <v>409</v>
      </c>
      <c r="Z124">
        <f>_xlfn.XLOOKUP($A124,'2021-2022'!$B$4:$B$23,'2021-2022'!AA$4:AA$23)</f>
        <v>21190</v>
      </c>
      <c r="AA124">
        <f>_xlfn.XLOOKUP($A124,'2021-2022'!$B$4:$B$23,'2021-2022'!AB$4:AB$23)</f>
        <v>77</v>
      </c>
      <c r="AB124">
        <f>_xlfn.XLOOKUP($A124,'2021-2022'!$B$4:$B$23,'2021-2022'!AC$4:AC$23)</f>
        <v>3698</v>
      </c>
      <c r="AC124">
        <f>_xlfn.XLOOKUP($A124,'2021-2022'!$B$4:$B$23,'2021-2022'!AD$4:AD$23)</f>
        <v>745</v>
      </c>
      <c r="AD124">
        <f>_xlfn.XLOOKUP($A124,'2021-2022'!$B$4:$B$23,'2021-2022'!AE$4:AE$23)</f>
        <v>241</v>
      </c>
      <c r="AE124">
        <f>_xlfn.XLOOKUP($A124,'2021-2022'!$B$4:$B$23,'2021-2022'!AF$4:AF$23)</f>
        <v>118</v>
      </c>
      <c r="AF124">
        <f>_xlfn.XLOOKUP($A124,'2021-2022'!$B$4:$B$23,'2021-2022'!AG$4:AG$23)</f>
        <v>148.9</v>
      </c>
      <c r="AG124">
        <f>_xlfn.XLOOKUP($A124,'2021-2022'!$B$4:$B$23,'2021-2022'!AH$4:AH$23)</f>
        <v>21</v>
      </c>
      <c r="AH124">
        <f>_xlfn.XLOOKUP($A124,'2021-2022'!$B$4:$B$23,'2021-2022'!AI$4:AI$23)</f>
        <v>23</v>
      </c>
      <c r="AI124">
        <f>_xlfn.XLOOKUP($A124,'2021-2022'!$B$4:$B$23,'2021-2022'!AJ$4:AJ$23)</f>
        <v>914.5</v>
      </c>
      <c r="AJ124">
        <f>_xlfn.XLOOKUP($A124,'2021-2022'!$B$4:$B$23,'2021-2022'!AK$4:AK$23)</f>
        <v>44</v>
      </c>
      <c r="AK124">
        <f>_xlfn.XLOOKUP($A124,'2021-2022'!$B$4:$B$23,'2021-2022'!AL$4:AL$23)</f>
        <v>20.78409090909091</v>
      </c>
      <c r="AL124">
        <f>_xlfn.XLOOKUP($A124,'2021-2022'!$B$4:$B$23,'2021-2022'!AM$4:AM$23)</f>
        <v>36443</v>
      </c>
      <c r="AM124">
        <f>_xlfn.XLOOKUP($A124,'2021-2022'!$B$4:$B$23,'2021-2022'!AN$4:AN$23)</f>
        <v>-0.18</v>
      </c>
      <c r="AN124">
        <f>_xlfn.XLOOKUP($A124,'2021-2022'!$B$4:$B$23,'2021-2022'!AO$4:AO$23)</f>
        <v>1</v>
      </c>
      <c r="AO124">
        <f>_xlfn.XLOOKUP($A124,'2021-2022'!$B$4:$B$23,'2021-2022'!AP$4:AP$23)</f>
        <v>0</v>
      </c>
      <c r="AP124">
        <f>_xlfn.XLOOKUP($A124,'2021-2022'!$B$4:$B$23,'2021-2022'!AQ$4:AQ$23)</f>
        <v>1</v>
      </c>
      <c r="AQ124">
        <f>_xlfn.XLOOKUP($A124,'2021-2022'!$B$4:$B$23,'2021-2022'!AR$4:AR$23)</f>
        <v>0</v>
      </c>
      <c r="AR124">
        <f>_xlfn.XLOOKUP($A124,'2021-2022'!$B$4:$B$23,'2021-2022'!AS$4:AS$23)</f>
        <v>1</v>
      </c>
      <c r="AS124" t="str">
        <f>_xlfn.XLOOKUP($A124,'2021-2022'!$B$4:$B$23,'2021-2022'!AT$4:AT$23)</f>
        <v>21/22</v>
      </c>
    </row>
    <row r="125" spans="1:45" x14ac:dyDescent="0.25">
      <c r="A125">
        <v>4</v>
      </c>
      <c r="B125" t="str">
        <f>_xlfn.XLOOKUP($A125,'2021-2022'!$B$4:$B$23,'2021-2022'!C$4:C$23)</f>
        <v>Tottenham Hotspur</v>
      </c>
      <c r="C125">
        <f>_xlfn.XLOOKUP($A125,'2021-2022'!$B$4:$B$23,'2021-2022'!D$4:D$23)</f>
        <v>69</v>
      </c>
      <c r="D125">
        <f>_xlfn.XLOOKUP($A125,'2021-2022'!$B$4:$B$23,'2021-2022'!E$4:E$23)</f>
        <v>40</v>
      </c>
      <c r="E125">
        <f>_xlfn.XLOOKUP($A125,'2021-2022'!$B$4:$B$23,'2021-2022'!F$4:F$23)</f>
        <v>29</v>
      </c>
      <c r="F125">
        <f>_xlfn.XLOOKUP($A125,'2021-2022'!$B$4:$B$23,'2021-2022'!G$4:G$23)</f>
        <v>16</v>
      </c>
      <c r="G125">
        <f>_xlfn.XLOOKUP($A125,'2021-2022'!$B$4:$B$23,'2021-2022'!H$4:H$23)</f>
        <v>69</v>
      </c>
      <c r="H125">
        <f>_xlfn.XLOOKUP($A125,'2021-2022'!$B$4:$B$23,'2021-2022'!I$4:I$23)</f>
        <v>1</v>
      </c>
      <c r="I125">
        <f>_xlfn.XLOOKUP($A125,'2021-2022'!$B$4:$B$23,'2021-2022'!J$4:J$23)</f>
        <v>61.2</v>
      </c>
      <c r="J125">
        <f>_xlfn.XLOOKUP($A125,'2021-2022'!$B$4:$B$23,'2021-2022'!K$4:K$23)</f>
        <v>39.299999999999997</v>
      </c>
      <c r="K125">
        <f>_xlfn.XLOOKUP($A125,'2021-2022'!$B$4:$B$23,'2021-2022'!L$4:L$23)</f>
        <v>7.7999999999999972</v>
      </c>
      <c r="L125">
        <f>_xlfn.XLOOKUP($A125,'2021-2022'!$B$4:$B$23,'2021-2022'!M$4:M$23)</f>
        <v>486</v>
      </c>
      <c r="M125">
        <f>_xlfn.XLOOKUP($A125,'2021-2022'!$B$4:$B$23,'2021-2022'!N$4:N$23)</f>
        <v>185</v>
      </c>
      <c r="N125">
        <f>_xlfn.XLOOKUP($A125,'2021-2022'!$B$4:$B$23,'2021-2022'!O$4:O$23)</f>
        <v>5</v>
      </c>
      <c r="O125">
        <f>_xlfn.XLOOKUP($A125,'2021-2022'!$B$4:$B$23,'2021-2022'!P$4:P$23)</f>
        <v>8</v>
      </c>
      <c r="P125">
        <f>_xlfn.XLOOKUP($A125,'2021-2022'!$B$4:$B$23,'2021-2022'!Q$4:Q$23)</f>
        <v>62</v>
      </c>
      <c r="Q125">
        <f>_xlfn.XLOOKUP($A125,'2021-2022'!$B$4:$B$23,'2021-2022'!R$4:R$23)</f>
        <v>8</v>
      </c>
      <c r="R125">
        <f>_xlfn.XLOOKUP($A125,'2021-2022'!$B$4:$B$23,'2021-2022'!S$4:S$23)</f>
        <v>4</v>
      </c>
      <c r="S125">
        <f>_xlfn.XLOOKUP($A125,'2021-2022'!$B$4:$B$23,'2021-2022'!T$4:T$23)</f>
        <v>62</v>
      </c>
      <c r="T125">
        <f>_xlfn.XLOOKUP($A125,'2021-2022'!$B$4:$B$23,'2021-2022'!U$4:U$23)</f>
        <v>1</v>
      </c>
      <c r="U125">
        <f>_xlfn.XLOOKUP($A125,'2021-2022'!$B$4:$B$23,'2021-2022'!V$4:V$23)</f>
        <v>2</v>
      </c>
      <c r="V125">
        <f>_xlfn.XLOOKUP($A125,'2021-2022'!$B$4:$B$23,'2021-2022'!W$4:W$23)</f>
        <v>98</v>
      </c>
      <c r="W125">
        <f>_xlfn.XLOOKUP($A125,'2021-2022'!$B$4:$B$23,'2021-2022'!X$4:X$23)</f>
        <v>793</v>
      </c>
      <c r="X125">
        <f>_xlfn.XLOOKUP($A125,'2021-2022'!$B$4:$B$23,'2021-2022'!Y$4:Y$23)</f>
        <v>793</v>
      </c>
      <c r="Y125">
        <f>_xlfn.XLOOKUP($A125,'2021-2022'!$B$4:$B$23,'2021-2022'!Z$4:Z$23)</f>
        <v>386</v>
      </c>
      <c r="Z125">
        <f>_xlfn.XLOOKUP($A125,'2021-2022'!$B$4:$B$23,'2021-2022'!AA$4:AA$23)</f>
        <v>17204</v>
      </c>
      <c r="AA125">
        <f>_xlfn.XLOOKUP($A125,'2021-2022'!$B$4:$B$23,'2021-2022'!AB$4:AB$23)</f>
        <v>88</v>
      </c>
      <c r="AB125">
        <f>_xlfn.XLOOKUP($A125,'2021-2022'!$B$4:$B$23,'2021-2022'!AC$4:AC$23)</f>
        <v>2825</v>
      </c>
      <c r="AC125">
        <f>_xlfn.XLOOKUP($A125,'2021-2022'!$B$4:$B$23,'2021-2022'!AD$4:AD$23)</f>
        <v>632</v>
      </c>
      <c r="AD125">
        <f>_xlfn.XLOOKUP($A125,'2021-2022'!$B$4:$B$23,'2021-2022'!AE$4:AE$23)</f>
        <v>193</v>
      </c>
      <c r="AE125">
        <f>_xlfn.XLOOKUP($A125,'2021-2022'!$B$4:$B$23,'2021-2022'!AF$4:AF$23)</f>
        <v>95.9</v>
      </c>
      <c r="AF125">
        <f>_xlfn.XLOOKUP($A125,'2021-2022'!$B$4:$B$23,'2021-2022'!AG$4:AG$23)</f>
        <v>34.619999999999997</v>
      </c>
      <c r="AG125">
        <f>_xlfn.XLOOKUP($A125,'2021-2022'!$B$4:$B$23,'2021-2022'!AH$4:AH$23)</f>
        <v>14</v>
      </c>
      <c r="AH125">
        <f>_xlfn.XLOOKUP($A125,'2021-2022'!$B$4:$B$23,'2021-2022'!AI$4:AI$23)</f>
        <v>19</v>
      </c>
      <c r="AI125">
        <f>_xlfn.XLOOKUP($A125,'2021-2022'!$B$4:$B$23,'2021-2022'!AJ$4:AJ$23)</f>
        <v>689.35</v>
      </c>
      <c r="AJ125">
        <f>_xlfn.XLOOKUP($A125,'2021-2022'!$B$4:$B$23,'2021-2022'!AK$4:AK$23)</f>
        <v>45</v>
      </c>
      <c r="AK125">
        <f>_xlfn.XLOOKUP($A125,'2021-2022'!$B$4:$B$23,'2021-2022'!AL$4:AL$23)</f>
        <v>15.318888888888889</v>
      </c>
      <c r="AL125">
        <f>_xlfn.XLOOKUP($A125,'2021-2022'!$B$4:$B$23,'2021-2022'!AM$4:AM$23)</f>
        <v>56523</v>
      </c>
      <c r="AM125">
        <f>_xlfn.XLOOKUP($A125,'2021-2022'!$B$4:$B$23,'2021-2022'!AN$4:AN$23)</f>
        <v>0.08</v>
      </c>
      <c r="AN125">
        <f>_xlfn.XLOOKUP($A125,'2021-2022'!$B$4:$B$23,'2021-2022'!AO$4:AO$23)</f>
        <v>1</v>
      </c>
      <c r="AO125">
        <f>_xlfn.XLOOKUP($A125,'2021-2022'!$B$4:$B$23,'2021-2022'!AP$4:AP$23)</f>
        <v>0</v>
      </c>
      <c r="AP125">
        <f>_xlfn.XLOOKUP($A125,'2021-2022'!$B$4:$B$23,'2021-2022'!AQ$4:AQ$23)</f>
        <v>1</v>
      </c>
      <c r="AQ125">
        <f>_xlfn.XLOOKUP($A125,'2021-2022'!$B$4:$B$23,'2021-2022'!AR$4:AR$23)</f>
        <v>0</v>
      </c>
      <c r="AR125">
        <f>_xlfn.XLOOKUP($A125,'2021-2022'!$B$4:$B$23,'2021-2022'!AS$4:AS$23)</f>
        <v>1</v>
      </c>
      <c r="AS125" t="str">
        <f>_xlfn.XLOOKUP($A125,'2021-2022'!$B$4:$B$23,'2021-2022'!AT$4:AT$23)</f>
        <v>21/22</v>
      </c>
    </row>
    <row r="126" spans="1:45" x14ac:dyDescent="0.25">
      <c r="A126">
        <v>5</v>
      </c>
      <c r="B126" t="str">
        <f>_xlfn.XLOOKUP($A126,'2021-2022'!$B$4:$B$23,'2021-2022'!C$4:C$23)</f>
        <v>Arsenal</v>
      </c>
      <c r="C126">
        <f>_xlfn.XLOOKUP($A126,'2021-2022'!$B$4:$B$23,'2021-2022'!D$4:D$23)</f>
        <v>61</v>
      </c>
      <c r="D126">
        <f>_xlfn.XLOOKUP($A126,'2021-2022'!$B$4:$B$23,'2021-2022'!E$4:E$23)</f>
        <v>48</v>
      </c>
      <c r="E126">
        <f>_xlfn.XLOOKUP($A126,'2021-2022'!$B$4:$B$23,'2021-2022'!F$4:F$23)</f>
        <v>13</v>
      </c>
      <c r="F126">
        <f>_xlfn.XLOOKUP($A126,'2021-2022'!$B$4:$B$23,'2021-2022'!G$4:G$23)</f>
        <v>13</v>
      </c>
      <c r="G126">
        <f>_xlfn.XLOOKUP($A126,'2021-2022'!$B$4:$B$23,'2021-2022'!H$4:H$23)</f>
        <v>67</v>
      </c>
      <c r="H126">
        <f>_xlfn.XLOOKUP($A126,'2021-2022'!$B$4:$B$23,'2021-2022'!I$4:I$23)</f>
        <v>4</v>
      </c>
      <c r="I126">
        <f>_xlfn.XLOOKUP($A126,'2021-2022'!$B$4:$B$23,'2021-2022'!J$4:J$23)</f>
        <v>60.5</v>
      </c>
      <c r="J126">
        <f>_xlfn.XLOOKUP($A126,'2021-2022'!$B$4:$B$23,'2021-2022'!K$4:K$23)</f>
        <v>45.7</v>
      </c>
      <c r="K126">
        <f>_xlfn.XLOOKUP($A126,'2021-2022'!$B$4:$B$23,'2021-2022'!L$4:L$23)</f>
        <v>0.5</v>
      </c>
      <c r="L126">
        <f>_xlfn.XLOOKUP($A126,'2021-2022'!$B$4:$B$23,'2021-2022'!M$4:M$23)</f>
        <v>581</v>
      </c>
      <c r="M126">
        <f>_xlfn.XLOOKUP($A126,'2021-2022'!$B$4:$B$23,'2021-2022'!N$4:N$23)</f>
        <v>186</v>
      </c>
      <c r="N126">
        <f>_xlfn.XLOOKUP($A126,'2021-2022'!$B$4:$B$23,'2021-2022'!O$4:O$23)</f>
        <v>5</v>
      </c>
      <c r="O126">
        <f>_xlfn.XLOOKUP($A126,'2021-2022'!$B$4:$B$23,'2021-2022'!P$4:P$23)</f>
        <v>9</v>
      </c>
      <c r="P126">
        <f>_xlfn.XLOOKUP($A126,'2021-2022'!$B$4:$B$23,'2021-2022'!Q$4:Q$23)</f>
        <v>52</v>
      </c>
      <c r="Q126">
        <f>_xlfn.XLOOKUP($A126,'2021-2022'!$B$4:$B$23,'2021-2022'!R$4:R$23)</f>
        <v>10</v>
      </c>
      <c r="R126">
        <f>_xlfn.XLOOKUP($A126,'2021-2022'!$B$4:$B$23,'2021-2022'!S$4:S$23)</f>
        <v>6</v>
      </c>
      <c r="S126">
        <f>_xlfn.XLOOKUP($A126,'2021-2022'!$B$4:$B$23,'2021-2022'!T$4:T$23)</f>
        <v>66</v>
      </c>
      <c r="T126">
        <f>_xlfn.XLOOKUP($A126,'2021-2022'!$B$4:$B$23,'2021-2022'!U$4:U$23)</f>
        <v>1</v>
      </c>
      <c r="U126">
        <f>_xlfn.XLOOKUP($A126,'2021-2022'!$B$4:$B$23,'2021-2022'!V$4:V$23)</f>
        <v>6</v>
      </c>
      <c r="V126">
        <f>_xlfn.XLOOKUP($A126,'2021-2022'!$B$4:$B$23,'2021-2022'!W$4:W$23)</f>
        <v>100</v>
      </c>
      <c r="W126">
        <f>_xlfn.XLOOKUP($A126,'2021-2022'!$B$4:$B$23,'2021-2022'!X$4:X$23)</f>
        <v>658</v>
      </c>
      <c r="X126">
        <f>_xlfn.XLOOKUP($A126,'2021-2022'!$B$4:$B$23,'2021-2022'!Y$4:Y$23)</f>
        <v>658</v>
      </c>
      <c r="Y126">
        <f>_xlfn.XLOOKUP($A126,'2021-2022'!$B$4:$B$23,'2021-2022'!Z$4:Z$23)</f>
        <v>365</v>
      </c>
      <c r="Z126">
        <f>_xlfn.XLOOKUP($A126,'2021-2022'!$B$4:$B$23,'2021-2022'!AA$4:AA$23)</f>
        <v>16176</v>
      </c>
      <c r="AA126">
        <f>_xlfn.XLOOKUP($A126,'2021-2022'!$B$4:$B$23,'2021-2022'!AB$4:AB$23)</f>
        <v>77</v>
      </c>
      <c r="AB126">
        <f>_xlfn.XLOOKUP($A126,'2021-2022'!$B$4:$B$23,'2021-2022'!AC$4:AC$23)</f>
        <v>2876</v>
      </c>
      <c r="AC126">
        <f>_xlfn.XLOOKUP($A126,'2021-2022'!$B$4:$B$23,'2021-2022'!AD$4:AD$23)</f>
        <v>633</v>
      </c>
      <c r="AD126">
        <f>_xlfn.XLOOKUP($A126,'2021-2022'!$B$4:$B$23,'2021-2022'!AE$4:AE$23)</f>
        <v>208</v>
      </c>
      <c r="AE126">
        <f>_xlfn.XLOOKUP($A126,'2021-2022'!$B$4:$B$23,'2021-2022'!AF$4:AF$23)</f>
        <v>167.42</v>
      </c>
      <c r="AF126">
        <f>_xlfn.XLOOKUP($A126,'2021-2022'!$B$4:$B$23,'2021-2022'!AG$4:AG$23)</f>
        <v>31.4</v>
      </c>
      <c r="AG126">
        <f>_xlfn.XLOOKUP($A126,'2021-2022'!$B$4:$B$23,'2021-2022'!AH$4:AH$23)</f>
        <v>13</v>
      </c>
      <c r="AH126">
        <f>_xlfn.XLOOKUP($A126,'2021-2022'!$B$4:$B$23,'2021-2022'!AI$4:AI$23)</f>
        <v>20</v>
      </c>
      <c r="AI126">
        <f>_xlfn.XLOOKUP($A126,'2021-2022'!$B$4:$B$23,'2021-2022'!AJ$4:AJ$23)</f>
        <v>613.04999999999995</v>
      </c>
      <c r="AJ126">
        <f>_xlfn.XLOOKUP($A126,'2021-2022'!$B$4:$B$23,'2021-2022'!AK$4:AK$23)</f>
        <v>41</v>
      </c>
      <c r="AK126">
        <f>_xlfn.XLOOKUP($A126,'2021-2022'!$B$4:$B$23,'2021-2022'!AL$4:AL$23)</f>
        <v>14.952439024390243</v>
      </c>
      <c r="AL126">
        <f>_xlfn.XLOOKUP($A126,'2021-2022'!$B$4:$B$23,'2021-2022'!AM$4:AM$23)</f>
        <v>59665</v>
      </c>
      <c r="AM126">
        <f>_xlfn.XLOOKUP($A126,'2021-2022'!$B$4:$B$23,'2021-2022'!AN$4:AN$23)</f>
        <v>0.22</v>
      </c>
      <c r="AN126">
        <f>_xlfn.XLOOKUP($A126,'2021-2022'!$B$4:$B$23,'2021-2022'!AO$4:AO$23)</f>
        <v>0</v>
      </c>
      <c r="AO126">
        <f>_xlfn.XLOOKUP($A126,'2021-2022'!$B$4:$B$23,'2021-2022'!AP$4:AP$23)</f>
        <v>0</v>
      </c>
      <c r="AP126">
        <f>_xlfn.XLOOKUP($A126,'2021-2022'!$B$4:$B$23,'2021-2022'!AQ$4:AQ$23)</f>
        <v>0</v>
      </c>
      <c r="AQ126">
        <f>_xlfn.XLOOKUP($A126,'2021-2022'!$B$4:$B$23,'2021-2022'!AR$4:AR$23)</f>
        <v>0</v>
      </c>
      <c r="AR126">
        <f>_xlfn.XLOOKUP($A126,'2021-2022'!$B$4:$B$23,'2021-2022'!AS$4:AS$23)</f>
        <v>1</v>
      </c>
      <c r="AS126" t="str">
        <f>_xlfn.XLOOKUP($A126,'2021-2022'!$B$4:$B$23,'2021-2022'!AT$4:AT$23)</f>
        <v>21/22</v>
      </c>
    </row>
    <row r="127" spans="1:45" x14ac:dyDescent="0.25">
      <c r="A127">
        <v>6</v>
      </c>
      <c r="B127" t="str">
        <f>_xlfn.XLOOKUP($A127,'2021-2022'!$B$4:$B$23,'2021-2022'!C$4:C$23)</f>
        <v>Manchester United</v>
      </c>
      <c r="C127">
        <f>_xlfn.XLOOKUP($A127,'2021-2022'!$B$4:$B$23,'2021-2022'!D$4:D$23)</f>
        <v>57</v>
      </c>
      <c r="D127">
        <f>_xlfn.XLOOKUP($A127,'2021-2022'!$B$4:$B$23,'2021-2022'!E$4:E$23)</f>
        <v>57</v>
      </c>
      <c r="E127">
        <f>_xlfn.XLOOKUP($A127,'2021-2022'!$B$4:$B$23,'2021-2022'!F$4:F$23)</f>
        <v>0</v>
      </c>
      <c r="F127">
        <f>_xlfn.XLOOKUP($A127,'2021-2022'!$B$4:$B$23,'2021-2022'!G$4:G$23)</f>
        <v>8</v>
      </c>
      <c r="G127">
        <f>_xlfn.XLOOKUP($A127,'2021-2022'!$B$4:$B$23,'2021-2022'!H$4:H$23)</f>
        <v>77</v>
      </c>
      <c r="H127">
        <f>_xlfn.XLOOKUP($A127,'2021-2022'!$B$4:$B$23,'2021-2022'!I$4:I$23)</f>
        <v>2</v>
      </c>
      <c r="I127">
        <f>_xlfn.XLOOKUP($A127,'2021-2022'!$B$4:$B$23,'2021-2022'!J$4:J$23)</f>
        <v>55.8</v>
      </c>
      <c r="J127">
        <f>_xlfn.XLOOKUP($A127,'2021-2022'!$B$4:$B$23,'2021-2022'!K$4:K$23)</f>
        <v>53</v>
      </c>
      <c r="K127">
        <f>_xlfn.XLOOKUP($A127,'2021-2022'!$B$4:$B$23,'2021-2022'!L$4:L$23)</f>
        <v>1.2000000000000028</v>
      </c>
      <c r="L127">
        <f>_xlfn.XLOOKUP($A127,'2021-2022'!$B$4:$B$23,'2021-2022'!M$4:M$23)</f>
        <v>503</v>
      </c>
      <c r="M127">
        <f>_xlfn.XLOOKUP($A127,'2021-2022'!$B$4:$B$23,'2021-2022'!N$4:N$23)</f>
        <v>179</v>
      </c>
      <c r="N127">
        <f>_xlfn.XLOOKUP($A127,'2021-2022'!$B$4:$B$23,'2021-2022'!O$4:O$23)</f>
        <v>3</v>
      </c>
      <c r="O127">
        <f>_xlfn.XLOOKUP($A127,'2021-2022'!$B$4:$B$23,'2021-2022'!P$4:P$23)</f>
        <v>7</v>
      </c>
      <c r="P127">
        <f>_xlfn.XLOOKUP($A127,'2021-2022'!$B$4:$B$23,'2021-2022'!Q$4:Q$23)</f>
        <v>49</v>
      </c>
      <c r="Q127">
        <f>_xlfn.XLOOKUP($A127,'2021-2022'!$B$4:$B$23,'2021-2022'!R$4:R$23)</f>
        <v>8</v>
      </c>
      <c r="R127">
        <f>_xlfn.XLOOKUP($A127,'2021-2022'!$B$4:$B$23,'2021-2022'!S$4:S$23)</f>
        <v>0</v>
      </c>
      <c r="S127">
        <f>_xlfn.XLOOKUP($A127,'2021-2022'!$B$4:$B$23,'2021-2022'!T$4:T$23)</f>
        <v>88</v>
      </c>
      <c r="T127">
        <f>_xlfn.XLOOKUP($A127,'2021-2022'!$B$4:$B$23,'2021-2022'!U$4:U$23)</f>
        <v>3</v>
      </c>
      <c r="U127">
        <f>_xlfn.XLOOKUP($A127,'2021-2022'!$B$4:$B$23,'2021-2022'!V$4:V$23)</f>
        <v>5</v>
      </c>
      <c r="V127">
        <f>_xlfn.XLOOKUP($A127,'2021-2022'!$B$4:$B$23,'2021-2022'!W$4:W$23)</f>
        <v>124</v>
      </c>
      <c r="W127">
        <f>_xlfn.XLOOKUP($A127,'2021-2022'!$B$4:$B$23,'2021-2022'!X$4:X$23)</f>
        <v>704</v>
      </c>
      <c r="X127">
        <f>_xlfn.XLOOKUP($A127,'2021-2022'!$B$4:$B$23,'2021-2022'!Y$4:Y$23)</f>
        <v>704</v>
      </c>
      <c r="Y127">
        <f>_xlfn.XLOOKUP($A127,'2021-2022'!$B$4:$B$23,'2021-2022'!Z$4:Z$23)</f>
        <v>396</v>
      </c>
      <c r="Z127">
        <f>_xlfn.XLOOKUP($A127,'2021-2022'!$B$4:$B$23,'2021-2022'!AA$4:AA$23)</f>
        <v>16690</v>
      </c>
      <c r="AA127">
        <f>_xlfn.XLOOKUP($A127,'2021-2022'!$B$4:$B$23,'2021-2022'!AB$4:AB$23)</f>
        <v>80</v>
      </c>
      <c r="AB127">
        <f>_xlfn.XLOOKUP($A127,'2021-2022'!$B$4:$B$23,'2021-2022'!AC$4:AC$23)</f>
        <v>2810</v>
      </c>
      <c r="AC127">
        <f>_xlfn.XLOOKUP($A127,'2021-2022'!$B$4:$B$23,'2021-2022'!AD$4:AD$23)</f>
        <v>659</v>
      </c>
      <c r="AD127">
        <f>_xlfn.XLOOKUP($A127,'2021-2022'!$B$4:$B$23,'2021-2022'!AE$4:AE$23)</f>
        <v>197</v>
      </c>
      <c r="AE127">
        <f>_xlfn.XLOOKUP($A127,'2021-2022'!$B$4:$B$23,'2021-2022'!AF$4:AF$23)</f>
        <v>142</v>
      </c>
      <c r="AF127">
        <f>_xlfn.XLOOKUP($A127,'2021-2022'!$B$4:$B$23,'2021-2022'!AG$4:AG$23)</f>
        <v>31.1</v>
      </c>
      <c r="AG127">
        <f>_xlfn.XLOOKUP($A127,'2021-2022'!$B$4:$B$23,'2021-2022'!AH$4:AH$23)</f>
        <v>17</v>
      </c>
      <c r="AH127">
        <f>_xlfn.XLOOKUP($A127,'2021-2022'!$B$4:$B$23,'2021-2022'!AI$4:AI$23)</f>
        <v>14</v>
      </c>
      <c r="AI127">
        <f>_xlfn.XLOOKUP($A127,'2021-2022'!$B$4:$B$23,'2021-2022'!AJ$4:AJ$23)</f>
        <v>769.15</v>
      </c>
      <c r="AJ127">
        <f>_xlfn.XLOOKUP($A127,'2021-2022'!$B$4:$B$23,'2021-2022'!AK$4:AK$23)</f>
        <v>43</v>
      </c>
      <c r="AK127">
        <f>_xlfn.XLOOKUP($A127,'2021-2022'!$B$4:$B$23,'2021-2022'!AL$4:AL$23)</f>
        <v>17.88720930232558</v>
      </c>
      <c r="AL127">
        <f>_xlfn.XLOOKUP($A127,'2021-2022'!$B$4:$B$23,'2021-2022'!AM$4:AM$23)</f>
        <v>73150</v>
      </c>
      <c r="AM127">
        <f>_xlfn.XLOOKUP($A127,'2021-2022'!$B$4:$B$23,'2021-2022'!AN$4:AN$23)</f>
        <v>0.18</v>
      </c>
      <c r="AN127">
        <f>_xlfn.XLOOKUP($A127,'2021-2022'!$B$4:$B$23,'2021-2022'!AO$4:AO$23)</f>
        <v>1</v>
      </c>
      <c r="AO127">
        <f>_xlfn.XLOOKUP($A127,'2021-2022'!$B$4:$B$23,'2021-2022'!AP$4:AP$23)</f>
        <v>0</v>
      </c>
      <c r="AP127">
        <f>_xlfn.XLOOKUP($A127,'2021-2022'!$B$4:$B$23,'2021-2022'!AQ$4:AQ$23)</f>
        <v>0</v>
      </c>
      <c r="AQ127">
        <f>_xlfn.XLOOKUP($A127,'2021-2022'!$B$4:$B$23,'2021-2022'!AR$4:AR$23)</f>
        <v>0</v>
      </c>
      <c r="AR127">
        <f>_xlfn.XLOOKUP($A127,'2021-2022'!$B$4:$B$23,'2021-2022'!AS$4:AS$23)</f>
        <v>1</v>
      </c>
      <c r="AS127" t="str">
        <f>_xlfn.XLOOKUP($A127,'2021-2022'!$B$4:$B$23,'2021-2022'!AT$4:AT$23)</f>
        <v>21/22</v>
      </c>
    </row>
    <row r="128" spans="1:45" x14ac:dyDescent="0.25">
      <c r="A128">
        <v>7</v>
      </c>
      <c r="B128" t="str">
        <f>_xlfn.XLOOKUP($A128,'2021-2022'!$B$4:$B$23,'2021-2022'!C$4:C$23)</f>
        <v>West Ham United</v>
      </c>
      <c r="C128">
        <f>_xlfn.XLOOKUP($A128,'2021-2022'!$B$4:$B$23,'2021-2022'!D$4:D$23)</f>
        <v>60</v>
      </c>
      <c r="D128">
        <f>_xlfn.XLOOKUP($A128,'2021-2022'!$B$4:$B$23,'2021-2022'!E$4:E$23)</f>
        <v>51</v>
      </c>
      <c r="E128">
        <f>_xlfn.XLOOKUP($A128,'2021-2022'!$B$4:$B$23,'2021-2022'!F$4:F$23)</f>
        <v>9</v>
      </c>
      <c r="F128">
        <f>_xlfn.XLOOKUP($A128,'2021-2022'!$B$4:$B$23,'2021-2022'!G$4:G$23)</f>
        <v>8</v>
      </c>
      <c r="G128">
        <f>_xlfn.XLOOKUP($A128,'2021-2022'!$B$4:$B$23,'2021-2022'!H$4:H$23)</f>
        <v>52</v>
      </c>
      <c r="H128">
        <f>_xlfn.XLOOKUP($A128,'2021-2022'!$B$4:$B$23,'2021-2022'!I$4:I$23)</f>
        <v>3</v>
      </c>
      <c r="I128">
        <f>_xlfn.XLOOKUP($A128,'2021-2022'!$B$4:$B$23,'2021-2022'!J$4:J$23)</f>
        <v>51.4</v>
      </c>
      <c r="J128">
        <f>_xlfn.XLOOKUP($A128,'2021-2022'!$B$4:$B$23,'2021-2022'!K$4:K$23)</f>
        <v>53.5</v>
      </c>
      <c r="K128">
        <f>_xlfn.XLOOKUP($A128,'2021-2022'!$B$4:$B$23,'2021-2022'!L$4:L$23)</f>
        <v>8.6000000000000014</v>
      </c>
      <c r="L128">
        <f>_xlfn.XLOOKUP($A128,'2021-2022'!$B$4:$B$23,'2021-2022'!M$4:M$23)</f>
        <v>443</v>
      </c>
      <c r="M128">
        <f>_xlfn.XLOOKUP($A128,'2021-2022'!$B$4:$B$23,'2021-2022'!N$4:N$23)</f>
        <v>142</v>
      </c>
      <c r="N128">
        <f>_xlfn.XLOOKUP($A128,'2021-2022'!$B$4:$B$23,'2021-2022'!O$4:O$23)</f>
        <v>4</v>
      </c>
      <c r="O128">
        <f>_xlfn.XLOOKUP($A128,'2021-2022'!$B$4:$B$23,'2021-2022'!P$4:P$23)</f>
        <v>8</v>
      </c>
      <c r="P128">
        <f>_xlfn.XLOOKUP($A128,'2021-2022'!$B$4:$B$23,'2021-2022'!Q$4:Q$23)</f>
        <v>52</v>
      </c>
      <c r="Q128">
        <f>_xlfn.XLOOKUP($A128,'2021-2022'!$B$4:$B$23,'2021-2022'!R$4:R$23)</f>
        <v>9</v>
      </c>
      <c r="R128">
        <f>_xlfn.XLOOKUP($A128,'2021-2022'!$B$4:$B$23,'2021-2022'!S$4:S$23)</f>
        <v>6</v>
      </c>
      <c r="S128">
        <f>_xlfn.XLOOKUP($A128,'2021-2022'!$B$4:$B$23,'2021-2022'!T$4:T$23)</f>
        <v>59</v>
      </c>
      <c r="T128">
        <f>_xlfn.XLOOKUP($A128,'2021-2022'!$B$4:$B$23,'2021-2022'!U$4:U$23)</f>
        <v>2</v>
      </c>
      <c r="U128">
        <f>_xlfn.XLOOKUP($A128,'2021-2022'!$B$4:$B$23,'2021-2022'!V$4:V$23)</f>
        <v>6</v>
      </c>
      <c r="V128">
        <f>_xlfn.XLOOKUP($A128,'2021-2022'!$B$4:$B$23,'2021-2022'!W$4:W$23)</f>
        <v>113</v>
      </c>
      <c r="W128">
        <f>_xlfn.XLOOKUP($A128,'2021-2022'!$B$4:$B$23,'2021-2022'!X$4:X$23)</f>
        <v>781</v>
      </c>
      <c r="X128">
        <f>_xlfn.XLOOKUP($A128,'2021-2022'!$B$4:$B$23,'2021-2022'!Y$4:Y$23)</f>
        <v>781</v>
      </c>
      <c r="Y128">
        <f>_xlfn.XLOOKUP($A128,'2021-2022'!$B$4:$B$23,'2021-2022'!Z$4:Z$23)</f>
        <v>323</v>
      </c>
      <c r="Z128">
        <f>_xlfn.XLOOKUP($A128,'2021-2022'!$B$4:$B$23,'2021-2022'!AA$4:AA$23)</f>
        <v>14326</v>
      </c>
      <c r="AA128">
        <f>_xlfn.XLOOKUP($A128,'2021-2022'!$B$4:$B$23,'2021-2022'!AB$4:AB$23)</f>
        <v>29</v>
      </c>
      <c r="AB128">
        <f>_xlfn.XLOOKUP($A128,'2021-2022'!$B$4:$B$23,'2021-2022'!AC$4:AC$23)</f>
        <v>2533</v>
      </c>
      <c r="AC128">
        <f>_xlfn.XLOOKUP($A128,'2021-2022'!$B$4:$B$23,'2021-2022'!AD$4:AD$23)</f>
        <v>802</v>
      </c>
      <c r="AD128">
        <f>_xlfn.XLOOKUP($A128,'2021-2022'!$B$4:$B$23,'2021-2022'!AE$4:AE$23)</f>
        <v>200</v>
      </c>
      <c r="AE128">
        <f>_xlfn.XLOOKUP($A128,'2021-2022'!$B$4:$B$23,'2021-2022'!AF$4:AF$23)</f>
        <v>74.5</v>
      </c>
      <c r="AF128">
        <f>_xlfn.XLOOKUP($A128,'2021-2022'!$B$4:$B$23,'2021-2022'!AG$4:AG$23)</f>
        <v>4.24</v>
      </c>
      <c r="AG128">
        <f>_xlfn.XLOOKUP($A128,'2021-2022'!$B$4:$B$23,'2021-2022'!AH$4:AH$23)</f>
        <v>10</v>
      </c>
      <c r="AH128">
        <f>_xlfn.XLOOKUP($A128,'2021-2022'!$B$4:$B$23,'2021-2022'!AI$4:AI$23)</f>
        <v>8</v>
      </c>
      <c r="AI128">
        <f>_xlfn.XLOOKUP($A128,'2021-2022'!$B$4:$B$23,'2021-2022'!AJ$4:AJ$23)</f>
        <v>354.9</v>
      </c>
      <c r="AJ128">
        <f>_xlfn.XLOOKUP($A128,'2021-2022'!$B$4:$B$23,'2021-2022'!AK$4:AK$23)</f>
        <v>36</v>
      </c>
      <c r="AK128">
        <f>_xlfn.XLOOKUP($A128,'2021-2022'!$B$4:$B$23,'2021-2022'!AL$4:AL$23)</f>
        <v>9.8583333333333325</v>
      </c>
      <c r="AL128">
        <f>_xlfn.XLOOKUP($A128,'2021-2022'!$B$4:$B$23,'2021-2022'!AM$4:AM$23)</f>
        <v>58370</v>
      </c>
      <c r="AM128">
        <f>_xlfn.XLOOKUP($A128,'2021-2022'!$B$4:$B$23,'2021-2022'!AN$4:AN$23)</f>
        <v>0.04</v>
      </c>
      <c r="AN128">
        <f>_xlfn.XLOOKUP($A128,'2021-2022'!$B$4:$B$23,'2021-2022'!AO$4:AO$23)</f>
        <v>1</v>
      </c>
      <c r="AO128">
        <f>_xlfn.XLOOKUP($A128,'2021-2022'!$B$4:$B$23,'2021-2022'!AP$4:AP$23)</f>
        <v>0</v>
      </c>
      <c r="AP128">
        <f>_xlfn.XLOOKUP($A128,'2021-2022'!$B$4:$B$23,'2021-2022'!AQ$4:AQ$23)</f>
        <v>0</v>
      </c>
      <c r="AQ128">
        <f>_xlfn.XLOOKUP($A128,'2021-2022'!$B$4:$B$23,'2021-2022'!AR$4:AR$23)</f>
        <v>0</v>
      </c>
      <c r="AR128">
        <f>_xlfn.XLOOKUP($A128,'2021-2022'!$B$4:$B$23,'2021-2022'!AS$4:AS$23)</f>
        <v>0</v>
      </c>
      <c r="AS128" t="str">
        <f>_xlfn.XLOOKUP($A128,'2021-2022'!$B$4:$B$23,'2021-2022'!AT$4:AT$23)</f>
        <v>21/22</v>
      </c>
    </row>
    <row r="129" spans="1:45" x14ac:dyDescent="0.25">
      <c r="A129">
        <v>8</v>
      </c>
      <c r="B129" t="str">
        <f>_xlfn.XLOOKUP($A129,'2021-2022'!$B$4:$B$23,'2021-2022'!C$4:C$23)</f>
        <v>Leicester City</v>
      </c>
      <c r="C129">
        <f>_xlfn.XLOOKUP($A129,'2021-2022'!$B$4:$B$23,'2021-2022'!D$4:D$23)</f>
        <v>62</v>
      </c>
      <c r="D129">
        <f>_xlfn.XLOOKUP($A129,'2021-2022'!$B$4:$B$23,'2021-2022'!E$4:E$23)</f>
        <v>59</v>
      </c>
      <c r="E129">
        <f>_xlfn.XLOOKUP($A129,'2021-2022'!$B$4:$B$23,'2021-2022'!F$4:F$23)</f>
        <v>3</v>
      </c>
      <c r="F129">
        <f>_xlfn.XLOOKUP($A129,'2021-2022'!$B$4:$B$23,'2021-2022'!G$4:G$23)</f>
        <v>7</v>
      </c>
      <c r="G129">
        <f>_xlfn.XLOOKUP($A129,'2021-2022'!$B$4:$B$23,'2021-2022'!H$4:H$23)</f>
        <v>55</v>
      </c>
      <c r="H129">
        <f>_xlfn.XLOOKUP($A129,'2021-2022'!$B$4:$B$23,'2021-2022'!I$4:I$23)</f>
        <v>1</v>
      </c>
      <c r="I129">
        <f>_xlfn.XLOOKUP($A129,'2021-2022'!$B$4:$B$23,'2021-2022'!J$4:J$23)</f>
        <v>47.8</v>
      </c>
      <c r="J129">
        <f>_xlfn.XLOOKUP($A129,'2021-2022'!$B$4:$B$23,'2021-2022'!K$4:K$23)</f>
        <v>59.3</v>
      </c>
      <c r="K129">
        <f>_xlfn.XLOOKUP($A129,'2021-2022'!$B$4:$B$23,'2021-2022'!L$4:L$23)</f>
        <v>14.200000000000003</v>
      </c>
      <c r="L129">
        <f>_xlfn.XLOOKUP($A129,'2021-2022'!$B$4:$B$23,'2021-2022'!M$4:M$23)</f>
        <v>433</v>
      </c>
      <c r="M129">
        <f>_xlfn.XLOOKUP($A129,'2021-2022'!$B$4:$B$23,'2021-2022'!N$4:N$23)</f>
        <v>164</v>
      </c>
      <c r="N129">
        <f>_xlfn.XLOOKUP($A129,'2021-2022'!$B$4:$B$23,'2021-2022'!O$4:O$23)</f>
        <v>2</v>
      </c>
      <c r="O129">
        <f>_xlfn.XLOOKUP($A129,'2021-2022'!$B$4:$B$23,'2021-2022'!P$4:P$23)</f>
        <v>5</v>
      </c>
      <c r="P129">
        <f>_xlfn.XLOOKUP($A129,'2021-2022'!$B$4:$B$23,'2021-2022'!Q$4:Q$23)</f>
        <v>55</v>
      </c>
      <c r="Q129">
        <f>_xlfn.XLOOKUP($A129,'2021-2022'!$B$4:$B$23,'2021-2022'!R$4:R$23)</f>
        <v>7</v>
      </c>
      <c r="R129">
        <f>_xlfn.XLOOKUP($A129,'2021-2022'!$B$4:$B$23,'2021-2022'!S$4:S$23)</f>
        <v>4</v>
      </c>
      <c r="S129">
        <f>_xlfn.XLOOKUP($A129,'2021-2022'!$B$4:$B$23,'2021-2022'!T$4:T$23)</f>
        <v>60</v>
      </c>
      <c r="T129">
        <f>_xlfn.XLOOKUP($A129,'2021-2022'!$B$4:$B$23,'2021-2022'!U$4:U$23)</f>
        <v>1</v>
      </c>
      <c r="U129">
        <f>_xlfn.XLOOKUP($A129,'2021-2022'!$B$4:$B$23,'2021-2022'!V$4:V$23)</f>
        <v>9</v>
      </c>
      <c r="V129">
        <f>_xlfn.XLOOKUP($A129,'2021-2022'!$B$4:$B$23,'2021-2022'!W$4:W$23)</f>
        <v>132</v>
      </c>
      <c r="W129">
        <f>_xlfn.XLOOKUP($A129,'2021-2022'!$B$4:$B$23,'2021-2022'!X$4:X$23)</f>
        <v>777</v>
      </c>
      <c r="X129">
        <f>_xlfn.XLOOKUP($A129,'2021-2022'!$B$4:$B$23,'2021-2022'!Y$4:Y$23)</f>
        <v>777</v>
      </c>
      <c r="Y129">
        <f>_xlfn.XLOOKUP($A129,'2021-2022'!$B$4:$B$23,'2021-2022'!Z$4:Z$23)</f>
        <v>356</v>
      </c>
      <c r="Z129">
        <f>_xlfn.XLOOKUP($A129,'2021-2022'!$B$4:$B$23,'2021-2022'!AA$4:AA$23)</f>
        <v>16129</v>
      </c>
      <c r="AA129">
        <f>_xlfn.XLOOKUP($A129,'2021-2022'!$B$4:$B$23,'2021-2022'!AB$4:AB$23)</f>
        <v>65</v>
      </c>
      <c r="AB129">
        <f>_xlfn.XLOOKUP($A129,'2021-2022'!$B$4:$B$23,'2021-2022'!AC$4:AC$23)</f>
        <v>2765</v>
      </c>
      <c r="AC129">
        <f>_xlfn.XLOOKUP($A129,'2021-2022'!$B$4:$B$23,'2021-2022'!AD$4:AD$23)</f>
        <v>556</v>
      </c>
      <c r="AD129">
        <f>_xlfn.XLOOKUP($A129,'2021-2022'!$B$4:$B$23,'2021-2022'!AE$4:AE$23)</f>
        <v>185</v>
      </c>
      <c r="AE129">
        <f>_xlfn.XLOOKUP($A129,'2021-2022'!$B$4:$B$23,'2021-2022'!AF$4:AF$23)</f>
        <v>67.599999999999994</v>
      </c>
      <c r="AF129">
        <f>_xlfn.XLOOKUP($A129,'2021-2022'!$B$4:$B$23,'2021-2022'!AG$4:AG$23)</f>
        <v>4</v>
      </c>
      <c r="AG129">
        <f>_xlfn.XLOOKUP($A129,'2021-2022'!$B$4:$B$23,'2021-2022'!AH$4:AH$23)</f>
        <v>11</v>
      </c>
      <c r="AH129">
        <f>_xlfn.XLOOKUP($A129,'2021-2022'!$B$4:$B$23,'2021-2022'!AI$4:AI$23)</f>
        <v>11</v>
      </c>
      <c r="AI129">
        <f>_xlfn.XLOOKUP($A129,'2021-2022'!$B$4:$B$23,'2021-2022'!AJ$4:AJ$23)</f>
        <v>526.54999999999995</v>
      </c>
      <c r="AJ129">
        <f>_xlfn.XLOOKUP($A129,'2021-2022'!$B$4:$B$23,'2021-2022'!AK$4:AK$23)</f>
        <v>40</v>
      </c>
      <c r="AK129">
        <f>_xlfn.XLOOKUP($A129,'2021-2022'!$B$4:$B$23,'2021-2022'!AL$4:AL$23)</f>
        <v>13.163749999999999</v>
      </c>
      <c r="AL129">
        <f>_xlfn.XLOOKUP($A129,'2021-2022'!$B$4:$B$23,'2021-2022'!AM$4:AM$23)</f>
        <v>32493</v>
      </c>
      <c r="AM129">
        <f>_xlfn.XLOOKUP($A129,'2021-2022'!$B$4:$B$23,'2021-2022'!AN$4:AN$23)</f>
        <v>0.16</v>
      </c>
      <c r="AN129">
        <f>_xlfn.XLOOKUP($A129,'2021-2022'!$B$4:$B$23,'2021-2022'!AO$4:AO$23)</f>
        <v>1</v>
      </c>
      <c r="AO129">
        <f>_xlfn.XLOOKUP($A129,'2021-2022'!$B$4:$B$23,'2021-2022'!AP$4:AP$23)</f>
        <v>0</v>
      </c>
      <c r="AP129">
        <f>_xlfn.XLOOKUP($A129,'2021-2022'!$B$4:$B$23,'2021-2022'!AQ$4:AQ$23)</f>
        <v>0</v>
      </c>
      <c r="AQ129">
        <f>_xlfn.XLOOKUP($A129,'2021-2022'!$B$4:$B$23,'2021-2022'!AR$4:AR$23)</f>
        <v>0</v>
      </c>
      <c r="AR129">
        <f>_xlfn.XLOOKUP($A129,'2021-2022'!$B$4:$B$23,'2021-2022'!AS$4:AS$23)</f>
        <v>0</v>
      </c>
      <c r="AS129" t="str">
        <f>_xlfn.XLOOKUP($A129,'2021-2022'!$B$4:$B$23,'2021-2022'!AT$4:AT$23)</f>
        <v>21/22</v>
      </c>
    </row>
    <row r="130" spans="1:45" x14ac:dyDescent="0.25">
      <c r="A130">
        <v>9</v>
      </c>
      <c r="B130" t="str">
        <f>_xlfn.XLOOKUP($A130,'2021-2022'!$B$4:$B$23,'2021-2022'!C$4:C$23)</f>
        <v>Brighton and Hove Albion</v>
      </c>
      <c r="C130">
        <f>_xlfn.XLOOKUP($A130,'2021-2022'!$B$4:$B$23,'2021-2022'!D$4:D$23)</f>
        <v>42</v>
      </c>
      <c r="D130">
        <f>_xlfn.XLOOKUP($A130,'2021-2022'!$B$4:$B$23,'2021-2022'!E$4:E$23)</f>
        <v>44</v>
      </c>
      <c r="E130">
        <f>_xlfn.XLOOKUP($A130,'2021-2022'!$B$4:$B$23,'2021-2022'!F$4:F$23)</f>
        <v>-2</v>
      </c>
      <c r="F130">
        <f>_xlfn.XLOOKUP($A130,'2021-2022'!$B$4:$B$23,'2021-2022'!G$4:G$23)</f>
        <v>11</v>
      </c>
      <c r="G130">
        <f>_xlfn.XLOOKUP($A130,'2021-2022'!$B$4:$B$23,'2021-2022'!H$4:H$23)</f>
        <v>72</v>
      </c>
      <c r="H130">
        <f>_xlfn.XLOOKUP($A130,'2021-2022'!$B$4:$B$23,'2021-2022'!I$4:I$23)</f>
        <v>2</v>
      </c>
      <c r="I130">
        <f>_xlfn.XLOOKUP($A130,'2021-2022'!$B$4:$B$23,'2021-2022'!J$4:J$23)</f>
        <v>46.2</v>
      </c>
      <c r="J130">
        <f>_xlfn.XLOOKUP($A130,'2021-2022'!$B$4:$B$23,'2021-2022'!K$4:K$23)</f>
        <v>42.9</v>
      </c>
      <c r="K130">
        <f>_xlfn.XLOOKUP($A130,'2021-2022'!$B$4:$B$23,'2021-2022'!L$4:L$23)</f>
        <v>-4.2000000000000028</v>
      </c>
      <c r="L130">
        <f>_xlfn.XLOOKUP($A130,'2021-2022'!$B$4:$B$23,'2021-2022'!M$4:M$23)</f>
        <v>482</v>
      </c>
      <c r="M130">
        <f>_xlfn.XLOOKUP($A130,'2021-2022'!$B$4:$B$23,'2021-2022'!N$4:N$23)</f>
        <v>141</v>
      </c>
      <c r="N130">
        <f>_xlfn.XLOOKUP($A130,'2021-2022'!$B$4:$B$23,'2021-2022'!O$4:O$23)</f>
        <v>4</v>
      </c>
      <c r="O130">
        <f>_xlfn.XLOOKUP($A130,'2021-2022'!$B$4:$B$23,'2021-2022'!P$4:P$23)</f>
        <v>8</v>
      </c>
      <c r="P130">
        <f>_xlfn.XLOOKUP($A130,'2021-2022'!$B$4:$B$23,'2021-2022'!Q$4:Q$23)</f>
        <v>34</v>
      </c>
      <c r="Q130">
        <f>_xlfn.XLOOKUP($A130,'2021-2022'!$B$4:$B$23,'2021-2022'!R$4:R$23)</f>
        <v>8</v>
      </c>
      <c r="R130">
        <f>_xlfn.XLOOKUP($A130,'2021-2022'!$B$4:$B$23,'2021-2022'!S$4:S$23)</f>
        <v>2</v>
      </c>
      <c r="S130">
        <f>_xlfn.XLOOKUP($A130,'2021-2022'!$B$4:$B$23,'2021-2022'!T$4:T$23)</f>
        <v>53</v>
      </c>
      <c r="T130">
        <f>_xlfn.XLOOKUP($A130,'2021-2022'!$B$4:$B$23,'2021-2022'!U$4:U$23)</f>
        <v>0</v>
      </c>
      <c r="U130">
        <f>_xlfn.XLOOKUP($A130,'2021-2022'!$B$4:$B$23,'2021-2022'!V$4:V$23)</f>
        <v>4</v>
      </c>
      <c r="V130">
        <f>_xlfn.XLOOKUP($A130,'2021-2022'!$B$4:$B$23,'2021-2022'!W$4:W$23)</f>
        <v>102</v>
      </c>
      <c r="W130">
        <f>_xlfn.XLOOKUP($A130,'2021-2022'!$B$4:$B$23,'2021-2022'!X$4:X$23)</f>
        <v>723</v>
      </c>
      <c r="X130">
        <f>_xlfn.XLOOKUP($A130,'2021-2022'!$B$4:$B$23,'2021-2022'!Y$4:Y$23)</f>
        <v>723</v>
      </c>
      <c r="Y130">
        <f>_xlfn.XLOOKUP($A130,'2021-2022'!$B$4:$B$23,'2021-2022'!Z$4:Z$23)</f>
        <v>393</v>
      </c>
      <c r="Z130">
        <f>_xlfn.XLOOKUP($A130,'2021-2022'!$B$4:$B$23,'2021-2022'!AA$4:AA$23)</f>
        <v>16410</v>
      </c>
      <c r="AA130">
        <f>_xlfn.XLOOKUP($A130,'2021-2022'!$B$4:$B$23,'2021-2022'!AB$4:AB$23)</f>
        <v>58</v>
      </c>
      <c r="AB130">
        <f>_xlfn.XLOOKUP($A130,'2021-2022'!$B$4:$B$23,'2021-2022'!AC$4:AC$23)</f>
        <v>3069</v>
      </c>
      <c r="AC130">
        <f>_xlfn.XLOOKUP($A130,'2021-2022'!$B$4:$B$23,'2021-2022'!AD$4:AD$23)</f>
        <v>728</v>
      </c>
      <c r="AD130">
        <f>_xlfn.XLOOKUP($A130,'2021-2022'!$B$4:$B$23,'2021-2022'!AE$4:AE$23)</f>
        <v>200</v>
      </c>
      <c r="AE130">
        <f>_xlfn.XLOOKUP($A130,'2021-2022'!$B$4:$B$23,'2021-2022'!AF$4:AF$23)</f>
        <v>75</v>
      </c>
      <c r="AF130">
        <f>_xlfn.XLOOKUP($A130,'2021-2022'!$B$4:$B$23,'2021-2022'!AG$4:AG$23)</f>
        <v>78.8</v>
      </c>
      <c r="AG130">
        <f>_xlfn.XLOOKUP($A130,'2021-2022'!$B$4:$B$23,'2021-2022'!AH$4:AH$23)</f>
        <v>26</v>
      </c>
      <c r="AH130">
        <f>_xlfn.XLOOKUP($A130,'2021-2022'!$B$4:$B$23,'2021-2022'!AI$4:AI$23)</f>
        <v>29</v>
      </c>
      <c r="AI130">
        <f>_xlfn.XLOOKUP($A130,'2021-2022'!$B$4:$B$23,'2021-2022'!AJ$4:AJ$23)</f>
        <v>318</v>
      </c>
      <c r="AJ130">
        <f>_xlfn.XLOOKUP($A130,'2021-2022'!$B$4:$B$23,'2021-2022'!AK$4:AK$23)</f>
        <v>43</v>
      </c>
      <c r="AK130">
        <f>_xlfn.XLOOKUP($A130,'2021-2022'!$B$4:$B$23,'2021-2022'!AL$4:AL$23)</f>
        <v>7.3953488372093021</v>
      </c>
      <c r="AL130">
        <f>_xlfn.XLOOKUP($A130,'2021-2022'!$B$4:$B$23,'2021-2022'!AM$4:AM$23)</f>
        <v>30966</v>
      </c>
      <c r="AM130">
        <f>_xlfn.XLOOKUP($A130,'2021-2022'!$B$4:$B$23,'2021-2022'!AN$4:AN$23)</f>
        <v>-7.0000000000000007E-2</v>
      </c>
      <c r="AN130">
        <f>_xlfn.XLOOKUP($A130,'2021-2022'!$B$4:$B$23,'2021-2022'!AO$4:AO$23)</f>
        <v>0</v>
      </c>
      <c r="AO130">
        <f>_xlfn.XLOOKUP($A130,'2021-2022'!$B$4:$B$23,'2021-2022'!AP$4:AP$23)</f>
        <v>0</v>
      </c>
      <c r="AP130">
        <f>_xlfn.XLOOKUP($A130,'2021-2022'!$B$4:$B$23,'2021-2022'!AQ$4:AQ$23)</f>
        <v>0</v>
      </c>
      <c r="AQ130">
        <f>_xlfn.XLOOKUP($A130,'2021-2022'!$B$4:$B$23,'2021-2022'!AR$4:AR$23)</f>
        <v>0</v>
      </c>
      <c r="AR130">
        <f>_xlfn.XLOOKUP($A130,'2021-2022'!$B$4:$B$23,'2021-2022'!AS$4:AS$23)</f>
        <v>0</v>
      </c>
      <c r="AS130" t="str">
        <f>_xlfn.XLOOKUP($A130,'2021-2022'!$B$4:$B$23,'2021-2022'!AT$4:AT$23)</f>
        <v>21/22</v>
      </c>
    </row>
    <row r="131" spans="1:45" x14ac:dyDescent="0.25">
      <c r="A131">
        <v>10</v>
      </c>
      <c r="B131" t="str">
        <f>_xlfn.XLOOKUP($A131,'2021-2022'!$B$4:$B$23,'2021-2022'!C$4:C$23)</f>
        <v>Wolverhampton Wanderers</v>
      </c>
      <c r="C131">
        <f>_xlfn.XLOOKUP($A131,'2021-2022'!$B$4:$B$23,'2021-2022'!D$4:D$23)</f>
        <v>38</v>
      </c>
      <c r="D131">
        <f>_xlfn.XLOOKUP($A131,'2021-2022'!$B$4:$B$23,'2021-2022'!E$4:E$23)</f>
        <v>43</v>
      </c>
      <c r="E131">
        <f>_xlfn.XLOOKUP($A131,'2021-2022'!$B$4:$B$23,'2021-2022'!F$4:F$23)</f>
        <v>-5</v>
      </c>
      <c r="F131">
        <f>_xlfn.XLOOKUP($A131,'2021-2022'!$B$4:$B$23,'2021-2022'!G$4:G$23)</f>
        <v>11</v>
      </c>
      <c r="G131">
        <f>_xlfn.XLOOKUP($A131,'2021-2022'!$B$4:$B$23,'2021-2022'!H$4:H$23)</f>
        <v>62</v>
      </c>
      <c r="H131">
        <f>_xlfn.XLOOKUP($A131,'2021-2022'!$B$4:$B$23,'2021-2022'!I$4:I$23)</f>
        <v>2</v>
      </c>
      <c r="I131">
        <f>_xlfn.XLOOKUP($A131,'2021-2022'!$B$4:$B$23,'2021-2022'!J$4:J$23)</f>
        <v>37.5</v>
      </c>
      <c r="J131">
        <f>_xlfn.XLOOKUP($A131,'2021-2022'!$B$4:$B$23,'2021-2022'!K$4:K$23)</f>
        <v>56.9</v>
      </c>
      <c r="K131">
        <f>_xlfn.XLOOKUP($A131,'2021-2022'!$B$4:$B$23,'2021-2022'!L$4:L$23)</f>
        <v>0.5</v>
      </c>
      <c r="L131">
        <f>_xlfn.XLOOKUP($A131,'2021-2022'!$B$4:$B$23,'2021-2022'!M$4:M$23)</f>
        <v>401</v>
      </c>
      <c r="M131">
        <f>_xlfn.XLOOKUP($A131,'2021-2022'!$B$4:$B$23,'2021-2022'!N$4:N$23)</f>
        <v>133</v>
      </c>
      <c r="N131">
        <f>_xlfn.XLOOKUP($A131,'2021-2022'!$B$4:$B$23,'2021-2022'!O$4:O$23)</f>
        <v>1</v>
      </c>
      <c r="O131">
        <f>_xlfn.XLOOKUP($A131,'2021-2022'!$B$4:$B$23,'2021-2022'!P$4:P$23)</f>
        <v>5</v>
      </c>
      <c r="P131">
        <f>_xlfn.XLOOKUP($A131,'2021-2022'!$B$4:$B$23,'2021-2022'!Q$4:Q$23)</f>
        <v>30</v>
      </c>
      <c r="Q131">
        <f>_xlfn.XLOOKUP($A131,'2021-2022'!$B$4:$B$23,'2021-2022'!R$4:R$23)</f>
        <v>8</v>
      </c>
      <c r="R131">
        <f>_xlfn.XLOOKUP($A131,'2021-2022'!$B$4:$B$23,'2021-2022'!S$4:S$23)</f>
        <v>4</v>
      </c>
      <c r="S131">
        <f>_xlfn.XLOOKUP($A131,'2021-2022'!$B$4:$B$23,'2021-2022'!T$4:T$23)</f>
        <v>61</v>
      </c>
      <c r="T131">
        <f>_xlfn.XLOOKUP($A131,'2021-2022'!$B$4:$B$23,'2021-2022'!U$4:U$23)</f>
        <v>1</v>
      </c>
      <c r="U131">
        <f>_xlfn.XLOOKUP($A131,'2021-2022'!$B$4:$B$23,'2021-2022'!V$4:V$23)</f>
        <v>10</v>
      </c>
      <c r="V131">
        <f>_xlfn.XLOOKUP($A131,'2021-2022'!$B$4:$B$23,'2021-2022'!W$4:W$23)</f>
        <v>125</v>
      </c>
      <c r="W131">
        <f>_xlfn.XLOOKUP($A131,'2021-2022'!$B$4:$B$23,'2021-2022'!X$4:X$23)</f>
        <v>820</v>
      </c>
      <c r="X131">
        <f>_xlfn.XLOOKUP($A131,'2021-2022'!$B$4:$B$23,'2021-2022'!Y$4:Y$23)</f>
        <v>820</v>
      </c>
      <c r="Y131">
        <f>_xlfn.XLOOKUP($A131,'2021-2022'!$B$4:$B$23,'2021-2022'!Z$4:Z$23)</f>
        <v>366</v>
      </c>
      <c r="Z131">
        <f>_xlfn.XLOOKUP($A131,'2021-2022'!$B$4:$B$23,'2021-2022'!AA$4:AA$23)</f>
        <v>15253</v>
      </c>
      <c r="AA131">
        <f>_xlfn.XLOOKUP($A131,'2021-2022'!$B$4:$B$23,'2021-2022'!AB$4:AB$23)</f>
        <v>58</v>
      </c>
      <c r="AB131">
        <f>_xlfn.XLOOKUP($A131,'2021-2022'!$B$4:$B$23,'2021-2022'!AC$4:AC$23)</f>
        <v>2665</v>
      </c>
      <c r="AC131">
        <f>_xlfn.XLOOKUP($A131,'2021-2022'!$B$4:$B$23,'2021-2022'!AD$4:AD$23)</f>
        <v>587</v>
      </c>
      <c r="AD131">
        <f>_xlfn.XLOOKUP($A131,'2021-2022'!$B$4:$B$23,'2021-2022'!AE$4:AE$23)</f>
        <v>168</v>
      </c>
      <c r="AE131">
        <f>_xlfn.XLOOKUP($A131,'2021-2022'!$B$4:$B$23,'2021-2022'!AF$4:AF$23)</f>
        <v>37.6</v>
      </c>
      <c r="AF131">
        <f>_xlfn.XLOOKUP($A131,'2021-2022'!$B$4:$B$23,'2021-2022'!AG$4:AG$23)</f>
        <v>31.8</v>
      </c>
      <c r="AG131">
        <f>_xlfn.XLOOKUP($A131,'2021-2022'!$B$4:$B$23,'2021-2022'!AH$4:AH$23)</f>
        <v>26</v>
      </c>
      <c r="AH131">
        <f>_xlfn.XLOOKUP($A131,'2021-2022'!$B$4:$B$23,'2021-2022'!AI$4:AI$23)</f>
        <v>22</v>
      </c>
      <c r="AI131">
        <f>_xlfn.XLOOKUP($A131,'2021-2022'!$B$4:$B$23,'2021-2022'!AJ$4:AJ$23)</f>
        <v>376.95</v>
      </c>
      <c r="AJ131">
        <f>_xlfn.XLOOKUP($A131,'2021-2022'!$B$4:$B$23,'2021-2022'!AK$4:AK$23)</f>
        <v>38</v>
      </c>
      <c r="AK131">
        <f>_xlfn.XLOOKUP($A131,'2021-2022'!$B$4:$B$23,'2021-2022'!AL$4:AL$23)</f>
        <v>9.9197368421052623</v>
      </c>
      <c r="AL131">
        <f>_xlfn.XLOOKUP($A131,'2021-2022'!$B$4:$B$23,'2021-2022'!AM$4:AM$23)</f>
        <v>30841</v>
      </c>
      <c r="AM131">
        <f>_xlfn.XLOOKUP($A131,'2021-2022'!$B$4:$B$23,'2021-2022'!AN$4:AN$23)</f>
        <v>-0.06</v>
      </c>
      <c r="AN131">
        <f>_xlfn.XLOOKUP($A131,'2021-2022'!$B$4:$B$23,'2021-2022'!AO$4:AO$23)</f>
        <v>0</v>
      </c>
      <c r="AO131">
        <f>_xlfn.XLOOKUP($A131,'2021-2022'!$B$4:$B$23,'2021-2022'!AP$4:AP$23)</f>
        <v>0</v>
      </c>
      <c r="AP131">
        <f>_xlfn.XLOOKUP($A131,'2021-2022'!$B$4:$B$23,'2021-2022'!AQ$4:AQ$23)</f>
        <v>0</v>
      </c>
      <c r="AQ131">
        <f>_xlfn.XLOOKUP($A131,'2021-2022'!$B$4:$B$23,'2021-2022'!AR$4:AR$23)</f>
        <v>0</v>
      </c>
      <c r="AR131">
        <f>_xlfn.XLOOKUP($A131,'2021-2022'!$B$4:$B$23,'2021-2022'!AS$4:AS$23)</f>
        <v>0</v>
      </c>
      <c r="AS131" t="str">
        <f>_xlfn.XLOOKUP($A131,'2021-2022'!$B$4:$B$23,'2021-2022'!AT$4:AT$23)</f>
        <v>21/22</v>
      </c>
    </row>
    <row r="132" spans="1:45" x14ac:dyDescent="0.25">
      <c r="A132">
        <v>11</v>
      </c>
      <c r="B132" t="str">
        <f>_xlfn.XLOOKUP($A132,'2021-2022'!$B$4:$B$23,'2021-2022'!C$4:C$23)</f>
        <v>Newcastle United</v>
      </c>
      <c r="C132">
        <f>_xlfn.XLOOKUP($A132,'2021-2022'!$B$4:$B$23,'2021-2022'!D$4:D$23)</f>
        <v>44</v>
      </c>
      <c r="D132">
        <f>_xlfn.XLOOKUP($A132,'2021-2022'!$B$4:$B$23,'2021-2022'!E$4:E$23)</f>
        <v>62</v>
      </c>
      <c r="E132">
        <f>_xlfn.XLOOKUP($A132,'2021-2022'!$B$4:$B$23,'2021-2022'!F$4:F$23)</f>
        <v>-18</v>
      </c>
      <c r="F132">
        <f>_xlfn.XLOOKUP($A132,'2021-2022'!$B$4:$B$23,'2021-2022'!G$4:G$23)</f>
        <v>8</v>
      </c>
      <c r="G132">
        <f>_xlfn.XLOOKUP($A132,'2021-2022'!$B$4:$B$23,'2021-2022'!H$4:H$23)</f>
        <v>81</v>
      </c>
      <c r="H132">
        <f>_xlfn.XLOOKUP($A132,'2021-2022'!$B$4:$B$23,'2021-2022'!I$4:I$23)</f>
        <v>2</v>
      </c>
      <c r="I132">
        <f>_xlfn.XLOOKUP($A132,'2021-2022'!$B$4:$B$23,'2021-2022'!J$4:J$23)</f>
        <v>38.1</v>
      </c>
      <c r="J132">
        <f>_xlfn.XLOOKUP($A132,'2021-2022'!$B$4:$B$23,'2021-2022'!K$4:K$23)</f>
        <v>57.1</v>
      </c>
      <c r="K132">
        <f>_xlfn.XLOOKUP($A132,'2021-2022'!$B$4:$B$23,'2021-2022'!L$4:L$23)</f>
        <v>5.8999999999999986</v>
      </c>
      <c r="L132">
        <f>_xlfn.XLOOKUP($A132,'2021-2022'!$B$4:$B$23,'2021-2022'!M$4:M$23)</f>
        <v>446</v>
      </c>
      <c r="M132">
        <f>_xlfn.XLOOKUP($A132,'2021-2022'!$B$4:$B$23,'2021-2022'!N$4:N$23)</f>
        <v>142</v>
      </c>
      <c r="N132">
        <f>_xlfn.XLOOKUP($A132,'2021-2022'!$B$4:$B$23,'2021-2022'!O$4:O$23)</f>
        <v>3</v>
      </c>
      <c r="O132">
        <f>_xlfn.XLOOKUP($A132,'2021-2022'!$B$4:$B$23,'2021-2022'!P$4:P$23)</f>
        <v>9</v>
      </c>
      <c r="P132">
        <f>_xlfn.XLOOKUP($A132,'2021-2022'!$B$4:$B$23,'2021-2022'!Q$4:Q$23)</f>
        <v>37</v>
      </c>
      <c r="Q132">
        <f>_xlfn.XLOOKUP($A132,'2021-2022'!$B$4:$B$23,'2021-2022'!R$4:R$23)</f>
        <v>7</v>
      </c>
      <c r="R132">
        <f>_xlfn.XLOOKUP($A132,'2021-2022'!$B$4:$B$23,'2021-2022'!S$4:S$23)</f>
        <v>3</v>
      </c>
      <c r="S132">
        <f>_xlfn.XLOOKUP($A132,'2021-2022'!$B$4:$B$23,'2021-2022'!T$4:T$23)</f>
        <v>71</v>
      </c>
      <c r="T132">
        <f>_xlfn.XLOOKUP($A132,'2021-2022'!$B$4:$B$23,'2021-2022'!U$4:U$23)</f>
        <v>2</v>
      </c>
      <c r="U132">
        <f>_xlfn.XLOOKUP($A132,'2021-2022'!$B$4:$B$23,'2021-2022'!V$4:V$23)</f>
        <v>6</v>
      </c>
      <c r="V132">
        <f>_xlfn.XLOOKUP($A132,'2021-2022'!$B$4:$B$23,'2021-2022'!W$4:W$23)</f>
        <v>104</v>
      </c>
      <c r="W132">
        <f>_xlfn.XLOOKUP($A132,'2021-2022'!$B$4:$B$23,'2021-2022'!X$4:X$23)</f>
        <v>776</v>
      </c>
      <c r="X132">
        <f>_xlfn.XLOOKUP($A132,'2021-2022'!$B$4:$B$23,'2021-2022'!Y$4:Y$23)</f>
        <v>776</v>
      </c>
      <c r="Y132">
        <f>_xlfn.XLOOKUP($A132,'2021-2022'!$B$4:$B$23,'2021-2022'!Z$4:Z$23)</f>
        <v>392</v>
      </c>
      <c r="Z132">
        <f>_xlfn.XLOOKUP($A132,'2021-2022'!$B$4:$B$23,'2021-2022'!AA$4:AA$23)</f>
        <v>10201</v>
      </c>
      <c r="AA132">
        <f>_xlfn.XLOOKUP($A132,'2021-2022'!$B$4:$B$23,'2021-2022'!AB$4:AB$23)</f>
        <v>31</v>
      </c>
      <c r="AB132">
        <f>_xlfn.XLOOKUP($A132,'2021-2022'!$B$4:$B$23,'2021-2022'!AC$4:AC$23)</f>
        <v>1869</v>
      </c>
      <c r="AC132">
        <f>_xlfn.XLOOKUP($A132,'2021-2022'!$B$4:$B$23,'2021-2022'!AD$4:AD$23)</f>
        <v>592</v>
      </c>
      <c r="AD132">
        <f>_xlfn.XLOOKUP($A132,'2021-2022'!$B$4:$B$23,'2021-2022'!AE$4:AE$23)</f>
        <v>160</v>
      </c>
      <c r="AE132">
        <f>_xlfn.XLOOKUP($A132,'2021-2022'!$B$4:$B$23,'2021-2022'!AF$4:AF$23)</f>
        <v>130.5</v>
      </c>
      <c r="AF132">
        <f>_xlfn.XLOOKUP($A132,'2021-2022'!$B$4:$B$23,'2021-2022'!AG$4:AG$23)</f>
        <v>0</v>
      </c>
      <c r="AG132">
        <f>_xlfn.XLOOKUP($A132,'2021-2022'!$B$4:$B$23,'2021-2022'!AH$4:AH$23)</f>
        <v>13</v>
      </c>
      <c r="AH132">
        <f>_xlfn.XLOOKUP($A132,'2021-2022'!$B$4:$B$23,'2021-2022'!AI$4:AI$23)</f>
        <v>11</v>
      </c>
      <c r="AI132">
        <f>_xlfn.XLOOKUP($A132,'2021-2022'!$B$4:$B$23,'2021-2022'!AJ$4:AJ$23)</f>
        <v>313.89999999999998</v>
      </c>
      <c r="AJ132">
        <f>_xlfn.XLOOKUP($A132,'2021-2022'!$B$4:$B$23,'2021-2022'!AK$4:AK$23)</f>
        <v>34</v>
      </c>
      <c r="AK132">
        <f>_xlfn.XLOOKUP($A132,'2021-2022'!$B$4:$B$23,'2021-2022'!AL$4:AL$23)</f>
        <v>9.2323529411764707</v>
      </c>
      <c r="AL132">
        <f>_xlfn.XLOOKUP($A132,'2021-2022'!$B$4:$B$23,'2021-2022'!AM$4:AM$23)</f>
        <v>51487</v>
      </c>
      <c r="AM132">
        <f>_xlfn.XLOOKUP($A132,'2021-2022'!$B$4:$B$23,'2021-2022'!AN$4:AN$23)</f>
        <v>0.16</v>
      </c>
      <c r="AN132">
        <f>_xlfn.XLOOKUP($A132,'2021-2022'!$B$4:$B$23,'2021-2022'!AO$4:AO$23)</f>
        <v>0</v>
      </c>
      <c r="AO132">
        <f>_xlfn.XLOOKUP($A132,'2021-2022'!$B$4:$B$23,'2021-2022'!AP$4:AP$23)</f>
        <v>0</v>
      </c>
      <c r="AP132">
        <f>_xlfn.XLOOKUP($A132,'2021-2022'!$B$4:$B$23,'2021-2022'!AQ$4:AQ$23)</f>
        <v>0</v>
      </c>
      <c r="AQ132">
        <f>_xlfn.XLOOKUP($A132,'2021-2022'!$B$4:$B$23,'2021-2022'!AR$4:AR$23)</f>
        <v>0</v>
      </c>
      <c r="AR132">
        <f>_xlfn.XLOOKUP($A132,'2021-2022'!$B$4:$B$23,'2021-2022'!AS$4:AS$23)</f>
        <v>0</v>
      </c>
      <c r="AS132" t="str">
        <f>_xlfn.XLOOKUP($A132,'2021-2022'!$B$4:$B$23,'2021-2022'!AT$4:AT$23)</f>
        <v>21/22</v>
      </c>
    </row>
    <row r="133" spans="1:45" x14ac:dyDescent="0.25">
      <c r="A133">
        <v>12</v>
      </c>
      <c r="B133" t="str">
        <f>_xlfn.XLOOKUP($A133,'2021-2022'!$B$4:$B$23,'2021-2022'!C$4:C$23)</f>
        <v>Crystal Palace</v>
      </c>
      <c r="C133">
        <f>_xlfn.XLOOKUP($A133,'2021-2022'!$B$4:$B$23,'2021-2022'!D$4:D$23)</f>
        <v>50</v>
      </c>
      <c r="D133">
        <f>_xlfn.XLOOKUP($A133,'2021-2022'!$B$4:$B$23,'2021-2022'!E$4:E$23)</f>
        <v>46</v>
      </c>
      <c r="E133">
        <f>_xlfn.XLOOKUP($A133,'2021-2022'!$B$4:$B$23,'2021-2022'!F$4:F$23)</f>
        <v>4</v>
      </c>
      <c r="F133">
        <f>_xlfn.XLOOKUP($A133,'2021-2022'!$B$4:$B$23,'2021-2022'!G$4:G$23)</f>
        <v>12</v>
      </c>
      <c r="G133">
        <f>_xlfn.XLOOKUP($A133,'2021-2022'!$B$4:$B$23,'2021-2022'!H$4:H$23)</f>
        <v>69</v>
      </c>
      <c r="H133">
        <f>_xlfn.XLOOKUP($A133,'2021-2022'!$B$4:$B$23,'2021-2022'!I$4:I$23)</f>
        <v>1</v>
      </c>
      <c r="I133">
        <f>_xlfn.XLOOKUP($A133,'2021-2022'!$B$4:$B$23,'2021-2022'!J$4:J$23)</f>
        <v>46.4</v>
      </c>
      <c r="J133">
        <f>_xlfn.XLOOKUP($A133,'2021-2022'!$B$4:$B$23,'2021-2022'!K$4:K$23)</f>
        <v>40.700000000000003</v>
      </c>
      <c r="K133">
        <f>_xlfn.XLOOKUP($A133,'2021-2022'!$B$4:$B$23,'2021-2022'!L$4:L$23)</f>
        <v>3.6000000000000014</v>
      </c>
      <c r="L133">
        <f>_xlfn.XLOOKUP($A133,'2021-2022'!$B$4:$B$23,'2021-2022'!M$4:M$23)</f>
        <v>404</v>
      </c>
      <c r="M133">
        <f>_xlfn.XLOOKUP($A133,'2021-2022'!$B$4:$B$23,'2021-2022'!N$4:N$23)</f>
        <v>140</v>
      </c>
      <c r="N133">
        <f>_xlfn.XLOOKUP($A133,'2021-2022'!$B$4:$B$23,'2021-2022'!O$4:O$23)</f>
        <v>6</v>
      </c>
      <c r="O133">
        <f>_xlfn.XLOOKUP($A133,'2021-2022'!$B$4:$B$23,'2021-2022'!P$4:P$23)</f>
        <v>6</v>
      </c>
      <c r="P133">
        <f>_xlfn.XLOOKUP($A133,'2021-2022'!$B$4:$B$23,'2021-2022'!Q$4:Q$23)</f>
        <v>45</v>
      </c>
      <c r="Q133">
        <f>_xlfn.XLOOKUP($A133,'2021-2022'!$B$4:$B$23,'2021-2022'!R$4:R$23)</f>
        <v>5</v>
      </c>
      <c r="R133">
        <f>_xlfn.XLOOKUP($A133,'2021-2022'!$B$4:$B$23,'2021-2022'!S$4:S$23)</f>
        <v>2</v>
      </c>
      <c r="S133">
        <f>_xlfn.XLOOKUP($A133,'2021-2022'!$B$4:$B$23,'2021-2022'!T$4:T$23)</f>
        <v>63</v>
      </c>
      <c r="T133">
        <f>_xlfn.XLOOKUP($A133,'2021-2022'!$B$4:$B$23,'2021-2022'!U$4:U$23)</f>
        <v>2</v>
      </c>
      <c r="U133">
        <f>_xlfn.XLOOKUP($A133,'2021-2022'!$B$4:$B$23,'2021-2022'!V$4:V$23)</f>
        <v>4</v>
      </c>
      <c r="V133">
        <f>_xlfn.XLOOKUP($A133,'2021-2022'!$B$4:$B$23,'2021-2022'!W$4:W$23)</f>
        <v>99</v>
      </c>
      <c r="W133">
        <f>_xlfn.XLOOKUP($A133,'2021-2022'!$B$4:$B$23,'2021-2022'!X$4:X$23)</f>
        <v>761</v>
      </c>
      <c r="X133">
        <f>_xlfn.XLOOKUP($A133,'2021-2022'!$B$4:$B$23,'2021-2022'!Y$4:Y$23)</f>
        <v>761</v>
      </c>
      <c r="Y133">
        <f>_xlfn.XLOOKUP($A133,'2021-2022'!$B$4:$B$23,'2021-2022'!Z$4:Z$23)</f>
        <v>414</v>
      </c>
      <c r="Z133">
        <f>_xlfn.XLOOKUP($A133,'2021-2022'!$B$4:$B$23,'2021-2022'!AA$4:AA$23)</f>
        <v>14983</v>
      </c>
      <c r="AA133">
        <f>_xlfn.XLOOKUP($A133,'2021-2022'!$B$4:$B$23,'2021-2022'!AB$4:AB$23)</f>
        <v>40</v>
      </c>
      <c r="AB133">
        <f>_xlfn.XLOOKUP($A133,'2021-2022'!$B$4:$B$23,'2021-2022'!AC$4:AC$23)</f>
        <v>2829</v>
      </c>
      <c r="AC133">
        <f>_xlfn.XLOOKUP($A133,'2021-2022'!$B$4:$B$23,'2021-2022'!AD$4:AD$23)</f>
        <v>643</v>
      </c>
      <c r="AD133">
        <f>_xlfn.XLOOKUP($A133,'2021-2022'!$B$4:$B$23,'2021-2022'!AE$4:AE$23)</f>
        <v>175</v>
      </c>
      <c r="AE133">
        <f>_xlfn.XLOOKUP($A133,'2021-2022'!$B$4:$B$23,'2021-2022'!AF$4:AF$23)</f>
        <v>85.62</v>
      </c>
      <c r="AF133">
        <f>_xlfn.XLOOKUP($A133,'2021-2022'!$B$4:$B$23,'2021-2022'!AG$4:AG$23)</f>
        <v>0</v>
      </c>
      <c r="AG133">
        <f>_xlfn.XLOOKUP($A133,'2021-2022'!$B$4:$B$23,'2021-2022'!AH$4:AH$23)</f>
        <v>13</v>
      </c>
      <c r="AH133">
        <f>_xlfn.XLOOKUP($A133,'2021-2022'!$B$4:$B$23,'2021-2022'!AI$4:AI$23)</f>
        <v>16</v>
      </c>
      <c r="AI133">
        <f>_xlfn.XLOOKUP($A133,'2021-2022'!$B$4:$B$23,'2021-2022'!AJ$4:AJ$23)</f>
        <v>271.05</v>
      </c>
      <c r="AJ133">
        <f>_xlfn.XLOOKUP($A133,'2021-2022'!$B$4:$B$23,'2021-2022'!AK$4:AK$23)</f>
        <v>33</v>
      </c>
      <c r="AK133">
        <f>_xlfn.XLOOKUP($A133,'2021-2022'!$B$4:$B$23,'2021-2022'!AL$4:AL$23)</f>
        <v>8.2136363636363647</v>
      </c>
      <c r="AL133">
        <f>_xlfn.XLOOKUP($A133,'2021-2022'!$B$4:$B$23,'2021-2022'!AM$4:AM$23)</f>
        <v>24588</v>
      </c>
      <c r="AM133">
        <f>_xlfn.XLOOKUP($A133,'2021-2022'!$B$4:$B$23,'2021-2022'!AN$4:AN$23)</f>
        <v>0.17</v>
      </c>
      <c r="AN133">
        <f>_xlfn.XLOOKUP($A133,'2021-2022'!$B$4:$B$23,'2021-2022'!AO$4:AO$23)</f>
        <v>0</v>
      </c>
      <c r="AO133">
        <f>_xlfn.XLOOKUP($A133,'2021-2022'!$B$4:$B$23,'2021-2022'!AP$4:AP$23)</f>
        <v>0</v>
      </c>
      <c r="AP133">
        <f>_xlfn.XLOOKUP($A133,'2021-2022'!$B$4:$B$23,'2021-2022'!AQ$4:AQ$23)</f>
        <v>0</v>
      </c>
      <c r="AQ133">
        <f>_xlfn.XLOOKUP($A133,'2021-2022'!$B$4:$B$23,'2021-2022'!AR$4:AR$23)</f>
        <v>0</v>
      </c>
      <c r="AR133">
        <f>_xlfn.XLOOKUP($A133,'2021-2022'!$B$4:$B$23,'2021-2022'!AS$4:AS$23)</f>
        <v>0</v>
      </c>
      <c r="AS133" t="str">
        <f>_xlfn.XLOOKUP($A133,'2021-2022'!$B$4:$B$23,'2021-2022'!AT$4:AT$23)</f>
        <v>21/22</v>
      </c>
    </row>
    <row r="134" spans="1:45" x14ac:dyDescent="0.25">
      <c r="A134">
        <v>13</v>
      </c>
      <c r="B134" t="str">
        <f>_xlfn.XLOOKUP($A134,'2021-2022'!$B$4:$B$23,'2021-2022'!C$4:C$23)</f>
        <v>Brentford</v>
      </c>
      <c r="C134">
        <f>_xlfn.XLOOKUP($A134,'2021-2022'!$B$4:$B$23,'2021-2022'!D$4:D$23)</f>
        <v>48</v>
      </c>
      <c r="D134">
        <f>_xlfn.XLOOKUP($A134,'2021-2022'!$B$4:$B$23,'2021-2022'!E$4:E$23)</f>
        <v>56</v>
      </c>
      <c r="E134">
        <f>_xlfn.XLOOKUP($A134,'2021-2022'!$B$4:$B$23,'2021-2022'!F$4:F$23)</f>
        <v>-8</v>
      </c>
      <c r="F134">
        <f>_xlfn.XLOOKUP($A134,'2021-2022'!$B$4:$B$23,'2021-2022'!G$4:G$23)</f>
        <v>9</v>
      </c>
      <c r="G134">
        <f>_xlfn.XLOOKUP($A134,'2021-2022'!$B$4:$B$23,'2021-2022'!H$4:H$23)</f>
        <v>65</v>
      </c>
      <c r="H134">
        <f>_xlfn.XLOOKUP($A134,'2021-2022'!$B$4:$B$23,'2021-2022'!I$4:I$23)</f>
        <v>3</v>
      </c>
      <c r="I134">
        <f>_xlfn.XLOOKUP($A134,'2021-2022'!$B$4:$B$23,'2021-2022'!J$4:J$23)</f>
        <v>45.8</v>
      </c>
      <c r="J134">
        <f>_xlfn.XLOOKUP($A134,'2021-2022'!$B$4:$B$23,'2021-2022'!K$4:K$23)</f>
        <v>48.5</v>
      </c>
      <c r="K134">
        <f>_xlfn.XLOOKUP($A134,'2021-2022'!$B$4:$B$23,'2021-2022'!L$4:L$23)</f>
        <v>2.2000000000000028</v>
      </c>
      <c r="L134">
        <f>_xlfn.XLOOKUP($A134,'2021-2022'!$B$4:$B$23,'2021-2022'!M$4:M$23)</f>
        <v>436</v>
      </c>
      <c r="M134">
        <f>_xlfn.XLOOKUP($A134,'2021-2022'!$B$4:$B$23,'2021-2022'!N$4:N$23)</f>
        <v>141</v>
      </c>
      <c r="N134">
        <f>_xlfn.XLOOKUP($A134,'2021-2022'!$B$4:$B$23,'2021-2022'!O$4:O$23)</f>
        <v>6</v>
      </c>
      <c r="O134">
        <f>_xlfn.XLOOKUP($A134,'2021-2022'!$B$4:$B$23,'2021-2022'!P$4:P$23)</f>
        <v>11</v>
      </c>
      <c r="P134">
        <f>_xlfn.XLOOKUP($A134,'2021-2022'!$B$4:$B$23,'2021-2022'!Q$4:Q$23)</f>
        <v>45</v>
      </c>
      <c r="Q134">
        <f>_xlfn.XLOOKUP($A134,'2021-2022'!$B$4:$B$23,'2021-2022'!R$4:R$23)</f>
        <v>3</v>
      </c>
      <c r="R134">
        <f>_xlfn.XLOOKUP($A134,'2021-2022'!$B$4:$B$23,'2021-2022'!S$4:S$23)</f>
        <v>1</v>
      </c>
      <c r="S134">
        <f>_xlfn.XLOOKUP($A134,'2021-2022'!$B$4:$B$23,'2021-2022'!T$4:T$23)</f>
        <v>66</v>
      </c>
      <c r="T134">
        <f>_xlfn.XLOOKUP($A134,'2021-2022'!$B$4:$B$23,'2021-2022'!U$4:U$23)</f>
        <v>2</v>
      </c>
      <c r="U134">
        <f>_xlfn.XLOOKUP($A134,'2021-2022'!$B$4:$B$23,'2021-2022'!V$4:V$23)</f>
        <v>5</v>
      </c>
      <c r="V134">
        <f>_xlfn.XLOOKUP($A134,'2021-2022'!$B$4:$B$23,'2021-2022'!W$4:W$23)</f>
        <v>125</v>
      </c>
      <c r="W134">
        <f>_xlfn.XLOOKUP($A134,'2021-2022'!$B$4:$B$23,'2021-2022'!X$4:X$23)</f>
        <v>863</v>
      </c>
      <c r="X134">
        <f>_xlfn.XLOOKUP($A134,'2021-2022'!$B$4:$B$23,'2021-2022'!Y$4:Y$23)</f>
        <v>863</v>
      </c>
      <c r="Y134">
        <f>_xlfn.XLOOKUP($A134,'2021-2022'!$B$4:$B$23,'2021-2022'!Z$4:Z$23)</f>
        <v>371</v>
      </c>
      <c r="Z134">
        <f>_xlfn.XLOOKUP($A134,'2021-2022'!$B$4:$B$23,'2021-2022'!AA$4:AA$23)</f>
        <v>11676</v>
      </c>
      <c r="AA134">
        <f>_xlfn.XLOOKUP($A134,'2021-2022'!$B$4:$B$23,'2021-2022'!AB$4:AB$23)</f>
        <v>50</v>
      </c>
      <c r="AB134">
        <f>_xlfn.XLOOKUP($A134,'2021-2022'!$B$4:$B$23,'2021-2022'!AC$4:AC$23)</f>
        <v>2198</v>
      </c>
      <c r="AC134">
        <f>_xlfn.XLOOKUP($A134,'2021-2022'!$B$4:$B$23,'2021-2022'!AD$4:AD$23)</f>
        <v>640</v>
      </c>
      <c r="AD134">
        <f>_xlfn.XLOOKUP($A134,'2021-2022'!$B$4:$B$23,'2021-2022'!AE$4:AE$23)</f>
        <v>159</v>
      </c>
      <c r="AE134">
        <f>_xlfn.XLOOKUP($A134,'2021-2022'!$B$4:$B$23,'2021-2022'!AF$4:AF$23)</f>
        <v>38.200000000000003</v>
      </c>
      <c r="AF134">
        <f>_xlfn.XLOOKUP($A134,'2021-2022'!$B$4:$B$23,'2021-2022'!AG$4:AG$23)</f>
        <v>1</v>
      </c>
      <c r="AG134">
        <f>_xlfn.XLOOKUP($A134,'2021-2022'!$B$4:$B$23,'2021-2022'!AH$4:AH$23)</f>
        <v>19</v>
      </c>
      <c r="AH134">
        <f>_xlfn.XLOOKUP($A134,'2021-2022'!$B$4:$B$23,'2021-2022'!AI$4:AI$23)</f>
        <v>15</v>
      </c>
      <c r="AI134">
        <f>_xlfn.XLOOKUP($A134,'2021-2022'!$B$4:$B$23,'2021-2022'!AJ$4:AJ$23)</f>
        <v>273.3</v>
      </c>
      <c r="AJ134">
        <f>_xlfn.XLOOKUP($A134,'2021-2022'!$B$4:$B$23,'2021-2022'!AK$4:AK$23)</f>
        <v>38</v>
      </c>
      <c r="AK134">
        <f>_xlfn.XLOOKUP($A134,'2021-2022'!$B$4:$B$23,'2021-2022'!AL$4:AL$23)</f>
        <v>7.1921052631578952</v>
      </c>
      <c r="AL134">
        <f>_xlfn.XLOOKUP($A134,'2021-2022'!$B$4:$B$23,'2021-2022'!AM$4:AM$23)</f>
        <v>16918</v>
      </c>
      <c r="AM134">
        <f>_xlfn.XLOOKUP($A134,'2021-2022'!$B$4:$B$23,'2021-2022'!AN$4:AN$23)</f>
        <v>0.08</v>
      </c>
      <c r="AN134">
        <f>_xlfn.XLOOKUP($A134,'2021-2022'!$B$4:$B$23,'2021-2022'!AO$4:AO$23)</f>
        <v>0</v>
      </c>
      <c r="AO134">
        <f>_xlfn.XLOOKUP($A134,'2021-2022'!$B$4:$B$23,'2021-2022'!AP$4:AP$23)</f>
        <v>1</v>
      </c>
      <c r="AP134">
        <f>_xlfn.XLOOKUP($A134,'2021-2022'!$B$4:$B$23,'2021-2022'!AQ$4:AQ$23)</f>
        <v>0</v>
      </c>
      <c r="AQ134">
        <f>_xlfn.XLOOKUP($A134,'2021-2022'!$B$4:$B$23,'2021-2022'!AR$4:AR$23)</f>
        <v>0</v>
      </c>
      <c r="AR134">
        <f>_xlfn.XLOOKUP($A134,'2021-2022'!$B$4:$B$23,'2021-2022'!AS$4:AS$23)</f>
        <v>0</v>
      </c>
      <c r="AS134" t="str">
        <f>_xlfn.XLOOKUP($A134,'2021-2022'!$B$4:$B$23,'2021-2022'!AT$4:AT$23)</f>
        <v>21/22</v>
      </c>
    </row>
    <row r="135" spans="1:45" x14ac:dyDescent="0.25">
      <c r="A135">
        <v>14</v>
      </c>
      <c r="B135" t="str">
        <f>_xlfn.XLOOKUP($A135,'2021-2022'!$B$4:$B$23,'2021-2022'!C$4:C$23)</f>
        <v>Aston Villa</v>
      </c>
      <c r="C135">
        <f>_xlfn.XLOOKUP($A135,'2021-2022'!$B$4:$B$23,'2021-2022'!D$4:D$23)</f>
        <v>52</v>
      </c>
      <c r="D135">
        <f>_xlfn.XLOOKUP($A135,'2021-2022'!$B$4:$B$23,'2021-2022'!E$4:E$23)</f>
        <v>54</v>
      </c>
      <c r="E135">
        <f>_xlfn.XLOOKUP($A135,'2021-2022'!$B$4:$B$23,'2021-2022'!F$4:F$23)</f>
        <v>-2</v>
      </c>
      <c r="F135">
        <f>_xlfn.XLOOKUP($A135,'2021-2022'!$B$4:$B$23,'2021-2022'!G$4:G$23)</f>
        <v>11</v>
      </c>
      <c r="G135">
        <f>_xlfn.XLOOKUP($A135,'2021-2022'!$B$4:$B$23,'2021-2022'!H$4:H$23)</f>
        <v>81</v>
      </c>
      <c r="H135">
        <f>_xlfn.XLOOKUP($A135,'2021-2022'!$B$4:$B$23,'2021-2022'!I$4:I$23)</f>
        <v>2</v>
      </c>
      <c r="I135">
        <f>_xlfn.XLOOKUP($A135,'2021-2022'!$B$4:$B$23,'2021-2022'!J$4:J$23)</f>
        <v>44</v>
      </c>
      <c r="J135">
        <f>_xlfn.XLOOKUP($A135,'2021-2022'!$B$4:$B$23,'2021-2022'!K$4:K$23)</f>
        <v>49</v>
      </c>
      <c r="K135">
        <f>_xlfn.XLOOKUP($A135,'2021-2022'!$B$4:$B$23,'2021-2022'!L$4:L$23)</f>
        <v>8</v>
      </c>
      <c r="L135">
        <f>_xlfn.XLOOKUP($A135,'2021-2022'!$B$4:$B$23,'2021-2022'!M$4:M$23)</f>
        <v>461</v>
      </c>
      <c r="M135">
        <f>_xlfn.XLOOKUP($A135,'2021-2022'!$B$4:$B$23,'2021-2022'!N$4:N$23)</f>
        <v>159</v>
      </c>
      <c r="N135">
        <f>_xlfn.XLOOKUP($A135,'2021-2022'!$B$4:$B$23,'2021-2022'!O$4:O$23)</f>
        <v>3</v>
      </c>
      <c r="O135">
        <f>_xlfn.XLOOKUP($A135,'2021-2022'!$B$4:$B$23,'2021-2022'!P$4:P$23)</f>
        <v>7</v>
      </c>
      <c r="P135">
        <f>_xlfn.XLOOKUP($A135,'2021-2022'!$B$4:$B$23,'2021-2022'!Q$4:Q$23)</f>
        <v>46</v>
      </c>
      <c r="Q135">
        <f>_xlfn.XLOOKUP($A135,'2021-2022'!$B$4:$B$23,'2021-2022'!R$4:R$23)</f>
        <v>7</v>
      </c>
      <c r="R135">
        <f>_xlfn.XLOOKUP($A135,'2021-2022'!$B$4:$B$23,'2021-2022'!S$4:S$23)</f>
        <v>4</v>
      </c>
      <c r="S135">
        <f>_xlfn.XLOOKUP($A135,'2021-2022'!$B$4:$B$23,'2021-2022'!T$4:T$23)</f>
        <v>52</v>
      </c>
      <c r="T135">
        <f>_xlfn.XLOOKUP($A135,'2021-2022'!$B$4:$B$23,'2021-2022'!U$4:U$23)</f>
        <v>2</v>
      </c>
      <c r="U135">
        <f>_xlfn.XLOOKUP($A135,'2021-2022'!$B$4:$B$23,'2021-2022'!V$4:V$23)</f>
        <v>6</v>
      </c>
      <c r="V135">
        <f>_xlfn.XLOOKUP($A135,'2021-2022'!$B$4:$B$23,'2021-2022'!W$4:W$23)</f>
        <v>96</v>
      </c>
      <c r="W135">
        <f>_xlfn.XLOOKUP($A135,'2021-2022'!$B$4:$B$23,'2021-2022'!X$4:X$23)</f>
        <v>693</v>
      </c>
      <c r="X135">
        <f>_xlfn.XLOOKUP($A135,'2021-2022'!$B$4:$B$23,'2021-2022'!Y$4:Y$23)</f>
        <v>693</v>
      </c>
      <c r="Y135">
        <f>_xlfn.XLOOKUP($A135,'2021-2022'!$B$4:$B$23,'2021-2022'!Z$4:Z$23)</f>
        <v>401</v>
      </c>
      <c r="Z135">
        <f>_xlfn.XLOOKUP($A135,'2021-2022'!$B$4:$B$23,'2021-2022'!AA$4:AA$23)</f>
        <v>12748</v>
      </c>
      <c r="AA135">
        <f>_xlfn.XLOOKUP($A135,'2021-2022'!$B$4:$B$23,'2021-2022'!AB$4:AB$23)</f>
        <v>71</v>
      </c>
      <c r="AB135">
        <f>_xlfn.XLOOKUP($A135,'2021-2022'!$B$4:$B$23,'2021-2022'!AC$4:AC$23)</f>
        <v>2130</v>
      </c>
      <c r="AC135">
        <f>_xlfn.XLOOKUP($A135,'2021-2022'!$B$4:$B$23,'2021-2022'!AD$4:AD$23)</f>
        <v>670</v>
      </c>
      <c r="AD135">
        <f>_xlfn.XLOOKUP($A135,'2021-2022'!$B$4:$B$23,'2021-2022'!AE$4:AE$23)</f>
        <v>196</v>
      </c>
      <c r="AE135">
        <f>_xlfn.XLOOKUP($A135,'2021-2022'!$B$4:$B$23,'2021-2022'!AF$4:AF$23)</f>
        <v>129.80000000000001</v>
      </c>
      <c r="AF135">
        <f>_xlfn.XLOOKUP($A135,'2021-2022'!$B$4:$B$23,'2021-2022'!AG$4:AG$23)</f>
        <v>127</v>
      </c>
      <c r="AG135">
        <f>_xlfn.XLOOKUP($A135,'2021-2022'!$B$4:$B$23,'2021-2022'!AH$4:AH$23)</f>
        <v>22</v>
      </c>
      <c r="AH135">
        <f>_xlfn.XLOOKUP($A135,'2021-2022'!$B$4:$B$23,'2021-2022'!AI$4:AI$23)</f>
        <v>18</v>
      </c>
      <c r="AI135">
        <f>_xlfn.XLOOKUP($A135,'2021-2022'!$B$4:$B$23,'2021-2022'!AJ$4:AJ$23)</f>
        <v>487.75</v>
      </c>
      <c r="AJ135">
        <f>_xlfn.XLOOKUP($A135,'2021-2022'!$B$4:$B$23,'2021-2022'!AK$4:AK$23)</f>
        <v>44</v>
      </c>
      <c r="AK135">
        <f>_xlfn.XLOOKUP($A135,'2021-2022'!$B$4:$B$23,'2021-2022'!AL$4:AL$23)</f>
        <v>11.085227272727273</v>
      </c>
      <c r="AL135">
        <f>_xlfn.XLOOKUP($A135,'2021-2022'!$B$4:$B$23,'2021-2022'!AM$4:AM$23)</f>
        <v>41681</v>
      </c>
      <c r="AM135">
        <f>_xlfn.XLOOKUP($A135,'2021-2022'!$B$4:$B$23,'2021-2022'!AN$4:AN$23)</f>
        <v>0.02</v>
      </c>
      <c r="AN135">
        <f>_xlfn.XLOOKUP($A135,'2021-2022'!$B$4:$B$23,'2021-2022'!AO$4:AO$23)</f>
        <v>0</v>
      </c>
      <c r="AO135">
        <f>_xlfn.XLOOKUP($A135,'2021-2022'!$B$4:$B$23,'2021-2022'!AP$4:AP$23)</f>
        <v>0</v>
      </c>
      <c r="AP135">
        <f>_xlfn.XLOOKUP($A135,'2021-2022'!$B$4:$B$23,'2021-2022'!AQ$4:AQ$23)</f>
        <v>0</v>
      </c>
      <c r="AQ135">
        <f>_xlfn.XLOOKUP($A135,'2021-2022'!$B$4:$B$23,'2021-2022'!AR$4:AR$23)</f>
        <v>0</v>
      </c>
      <c r="AR135">
        <f>_xlfn.XLOOKUP($A135,'2021-2022'!$B$4:$B$23,'2021-2022'!AS$4:AS$23)</f>
        <v>0</v>
      </c>
      <c r="AS135" t="str">
        <f>_xlfn.XLOOKUP($A135,'2021-2022'!$B$4:$B$23,'2021-2022'!AT$4:AT$23)</f>
        <v>21/22</v>
      </c>
    </row>
    <row r="136" spans="1:45" x14ac:dyDescent="0.25">
      <c r="A136">
        <v>15</v>
      </c>
      <c r="B136" t="str">
        <f>_xlfn.XLOOKUP($A136,'2021-2022'!$B$4:$B$23,'2021-2022'!C$4:C$23)</f>
        <v>Southampton</v>
      </c>
      <c r="C136">
        <f>_xlfn.XLOOKUP($A136,'2021-2022'!$B$4:$B$23,'2021-2022'!D$4:D$23)</f>
        <v>43</v>
      </c>
      <c r="D136">
        <f>_xlfn.XLOOKUP($A136,'2021-2022'!$B$4:$B$23,'2021-2022'!E$4:E$23)</f>
        <v>67</v>
      </c>
      <c r="E136">
        <f>_xlfn.XLOOKUP($A136,'2021-2022'!$B$4:$B$23,'2021-2022'!F$4:F$23)</f>
        <v>-24</v>
      </c>
      <c r="F136">
        <f>_xlfn.XLOOKUP($A136,'2021-2022'!$B$4:$B$23,'2021-2022'!G$4:G$23)</f>
        <v>8</v>
      </c>
      <c r="G136">
        <f>_xlfn.XLOOKUP($A136,'2021-2022'!$B$4:$B$23,'2021-2022'!H$4:H$23)</f>
        <v>65</v>
      </c>
      <c r="H136">
        <f>_xlfn.XLOOKUP($A136,'2021-2022'!$B$4:$B$23,'2021-2022'!I$4:I$23)</f>
        <v>2</v>
      </c>
      <c r="I136">
        <f>_xlfn.XLOOKUP($A136,'2021-2022'!$B$4:$B$23,'2021-2022'!J$4:J$23)</f>
        <v>44.8</v>
      </c>
      <c r="J136">
        <f>_xlfn.XLOOKUP($A136,'2021-2022'!$B$4:$B$23,'2021-2022'!K$4:K$23)</f>
        <v>60</v>
      </c>
      <c r="K136">
        <f>_xlfn.XLOOKUP($A136,'2021-2022'!$B$4:$B$23,'2021-2022'!L$4:L$23)</f>
        <v>-1.7999999999999972</v>
      </c>
      <c r="L136">
        <f>_xlfn.XLOOKUP($A136,'2021-2022'!$B$4:$B$23,'2021-2022'!M$4:M$23)</f>
        <v>478</v>
      </c>
      <c r="M136">
        <f>_xlfn.XLOOKUP($A136,'2021-2022'!$B$4:$B$23,'2021-2022'!N$4:N$23)</f>
        <v>161</v>
      </c>
      <c r="N136">
        <f>_xlfn.XLOOKUP($A136,'2021-2022'!$B$4:$B$23,'2021-2022'!O$4:O$23)</f>
        <v>4</v>
      </c>
      <c r="O136">
        <f>_xlfn.XLOOKUP($A136,'2021-2022'!$B$4:$B$23,'2021-2022'!P$4:P$23)</f>
        <v>9</v>
      </c>
      <c r="P136">
        <f>_xlfn.XLOOKUP($A136,'2021-2022'!$B$4:$B$23,'2021-2022'!Q$4:Q$23)</f>
        <v>34</v>
      </c>
      <c r="Q136">
        <f>_xlfn.XLOOKUP($A136,'2021-2022'!$B$4:$B$23,'2021-2022'!R$4:R$23)</f>
        <v>9</v>
      </c>
      <c r="R136">
        <f>_xlfn.XLOOKUP($A136,'2021-2022'!$B$4:$B$23,'2021-2022'!S$4:S$23)</f>
        <v>3</v>
      </c>
      <c r="S136">
        <f>_xlfn.XLOOKUP($A136,'2021-2022'!$B$4:$B$23,'2021-2022'!T$4:T$23)</f>
        <v>42</v>
      </c>
      <c r="T136">
        <f>_xlfn.XLOOKUP($A136,'2021-2022'!$B$4:$B$23,'2021-2022'!U$4:U$23)</f>
        <v>2</v>
      </c>
      <c r="U136">
        <f>_xlfn.XLOOKUP($A136,'2021-2022'!$B$4:$B$23,'2021-2022'!V$4:V$23)</f>
        <v>2</v>
      </c>
      <c r="V136">
        <f>_xlfn.XLOOKUP($A136,'2021-2022'!$B$4:$B$23,'2021-2022'!W$4:W$23)</f>
        <v>118</v>
      </c>
      <c r="W136">
        <f>_xlfn.XLOOKUP($A136,'2021-2022'!$B$4:$B$23,'2021-2022'!X$4:X$23)</f>
        <v>795</v>
      </c>
      <c r="X136">
        <f>_xlfn.XLOOKUP($A136,'2021-2022'!$B$4:$B$23,'2021-2022'!Y$4:Y$23)</f>
        <v>795</v>
      </c>
      <c r="Y136">
        <f>_xlfn.XLOOKUP($A136,'2021-2022'!$B$4:$B$23,'2021-2022'!Z$4:Z$23)</f>
        <v>402</v>
      </c>
      <c r="Z136">
        <f>_xlfn.XLOOKUP($A136,'2021-2022'!$B$4:$B$23,'2021-2022'!AA$4:AA$23)</f>
        <v>12505</v>
      </c>
      <c r="AA136">
        <f>_xlfn.XLOOKUP($A136,'2021-2022'!$B$4:$B$23,'2021-2022'!AB$4:AB$23)</f>
        <v>43</v>
      </c>
      <c r="AB136">
        <f>_xlfn.XLOOKUP($A136,'2021-2022'!$B$4:$B$23,'2021-2022'!AC$4:AC$23)</f>
        <v>2355</v>
      </c>
      <c r="AC136">
        <f>_xlfn.XLOOKUP($A136,'2021-2022'!$B$4:$B$23,'2021-2022'!AD$4:AD$23)</f>
        <v>711</v>
      </c>
      <c r="AD136">
        <f>_xlfn.XLOOKUP($A136,'2021-2022'!$B$4:$B$23,'2021-2022'!AE$4:AE$23)</f>
        <v>233</v>
      </c>
      <c r="AE136">
        <f>_xlfn.XLOOKUP($A136,'2021-2022'!$B$4:$B$23,'2021-2022'!AF$4:AF$23)</f>
        <v>63.4</v>
      </c>
      <c r="AF136">
        <f>_xlfn.XLOOKUP($A136,'2021-2022'!$B$4:$B$23,'2021-2022'!AG$4:AG$23)</f>
        <v>60.35</v>
      </c>
      <c r="AG136">
        <f>_xlfn.XLOOKUP($A136,'2021-2022'!$B$4:$B$23,'2021-2022'!AH$4:AH$23)</f>
        <v>10</v>
      </c>
      <c r="AH136">
        <f>_xlfn.XLOOKUP($A136,'2021-2022'!$B$4:$B$23,'2021-2022'!AI$4:AI$23)</f>
        <v>14</v>
      </c>
      <c r="AI136">
        <f>_xlfn.XLOOKUP($A136,'2021-2022'!$B$4:$B$23,'2021-2022'!AJ$4:AJ$23)</f>
        <v>274.3</v>
      </c>
      <c r="AJ136">
        <f>_xlfn.XLOOKUP($A136,'2021-2022'!$B$4:$B$23,'2021-2022'!AK$4:AK$23)</f>
        <v>33</v>
      </c>
      <c r="AK136">
        <f>_xlfn.XLOOKUP($A136,'2021-2022'!$B$4:$B$23,'2021-2022'!AL$4:AL$23)</f>
        <v>8.3121212121212125</v>
      </c>
      <c r="AL136">
        <f>_xlfn.XLOOKUP($A136,'2021-2022'!$B$4:$B$23,'2021-2022'!AM$4:AM$23)</f>
        <v>30134</v>
      </c>
      <c r="AM136">
        <f>_xlfn.XLOOKUP($A136,'2021-2022'!$B$4:$B$23,'2021-2022'!AN$4:AN$23)</f>
        <v>0.18</v>
      </c>
      <c r="AN136">
        <f>_xlfn.XLOOKUP($A136,'2021-2022'!$B$4:$B$23,'2021-2022'!AO$4:AO$23)</f>
        <v>0</v>
      </c>
      <c r="AO136">
        <f>_xlfn.XLOOKUP($A136,'2021-2022'!$B$4:$B$23,'2021-2022'!AP$4:AP$23)</f>
        <v>0</v>
      </c>
      <c r="AP136">
        <f>_xlfn.XLOOKUP($A136,'2021-2022'!$B$4:$B$23,'2021-2022'!AQ$4:AQ$23)</f>
        <v>0</v>
      </c>
      <c r="AQ136">
        <f>_xlfn.XLOOKUP($A136,'2021-2022'!$B$4:$B$23,'2021-2022'!AR$4:AR$23)</f>
        <v>0</v>
      </c>
      <c r="AR136">
        <f>_xlfn.XLOOKUP($A136,'2021-2022'!$B$4:$B$23,'2021-2022'!AS$4:AS$23)</f>
        <v>0</v>
      </c>
      <c r="AS136" t="str">
        <f>_xlfn.XLOOKUP($A136,'2021-2022'!$B$4:$B$23,'2021-2022'!AT$4:AT$23)</f>
        <v>21/22</v>
      </c>
    </row>
    <row r="137" spans="1:45" x14ac:dyDescent="0.25">
      <c r="A137">
        <v>16</v>
      </c>
      <c r="B137" t="str">
        <f>_xlfn.XLOOKUP($A137,'2021-2022'!$B$4:$B$23,'2021-2022'!C$4:C$23)</f>
        <v>Everton</v>
      </c>
      <c r="C137">
        <f>_xlfn.XLOOKUP($A137,'2021-2022'!$B$4:$B$23,'2021-2022'!D$4:D$23)</f>
        <v>43</v>
      </c>
      <c r="D137">
        <f>_xlfn.XLOOKUP($A137,'2021-2022'!$B$4:$B$23,'2021-2022'!E$4:E$23)</f>
        <v>66</v>
      </c>
      <c r="E137">
        <f>_xlfn.XLOOKUP($A137,'2021-2022'!$B$4:$B$23,'2021-2022'!F$4:F$23)</f>
        <v>-23</v>
      </c>
      <c r="F137">
        <f>_xlfn.XLOOKUP($A137,'2021-2022'!$B$4:$B$23,'2021-2022'!G$4:G$23)</f>
        <v>8</v>
      </c>
      <c r="G137">
        <f>_xlfn.XLOOKUP($A137,'2021-2022'!$B$4:$B$23,'2021-2022'!H$4:H$23)</f>
        <v>82</v>
      </c>
      <c r="H137">
        <f>_xlfn.XLOOKUP($A137,'2021-2022'!$B$4:$B$23,'2021-2022'!I$4:I$23)</f>
        <v>6</v>
      </c>
      <c r="I137">
        <f>_xlfn.XLOOKUP($A137,'2021-2022'!$B$4:$B$23,'2021-2022'!J$4:J$23)</f>
        <v>41.2</v>
      </c>
      <c r="J137">
        <f>_xlfn.XLOOKUP($A137,'2021-2022'!$B$4:$B$23,'2021-2022'!K$4:K$23)</f>
        <v>55.4</v>
      </c>
      <c r="K137">
        <f>_xlfn.XLOOKUP($A137,'2021-2022'!$B$4:$B$23,'2021-2022'!L$4:L$23)</f>
        <v>1.7999999999999972</v>
      </c>
      <c r="L137">
        <f>_xlfn.XLOOKUP($A137,'2021-2022'!$B$4:$B$23,'2021-2022'!M$4:M$23)</f>
        <v>430</v>
      </c>
      <c r="M137">
        <f>_xlfn.XLOOKUP($A137,'2021-2022'!$B$4:$B$23,'2021-2022'!N$4:N$23)</f>
        <v>130</v>
      </c>
      <c r="N137">
        <f>_xlfn.XLOOKUP($A137,'2021-2022'!$B$4:$B$23,'2021-2022'!O$4:O$23)</f>
        <v>6</v>
      </c>
      <c r="O137">
        <f>_xlfn.XLOOKUP($A137,'2021-2022'!$B$4:$B$23,'2021-2022'!P$4:P$23)</f>
        <v>8</v>
      </c>
      <c r="P137">
        <f>_xlfn.XLOOKUP($A137,'2021-2022'!$B$4:$B$23,'2021-2022'!Q$4:Q$23)</f>
        <v>38</v>
      </c>
      <c r="Q137">
        <f>_xlfn.XLOOKUP($A137,'2021-2022'!$B$4:$B$23,'2021-2022'!R$4:R$23)</f>
        <v>7</v>
      </c>
      <c r="R137">
        <f>_xlfn.XLOOKUP($A137,'2021-2022'!$B$4:$B$23,'2021-2022'!S$4:S$23)</f>
        <v>3</v>
      </c>
      <c r="S137">
        <f>_xlfn.XLOOKUP($A137,'2021-2022'!$B$4:$B$23,'2021-2022'!T$4:T$23)</f>
        <v>53</v>
      </c>
      <c r="T137">
        <f>_xlfn.XLOOKUP($A137,'2021-2022'!$B$4:$B$23,'2021-2022'!U$4:U$23)</f>
        <v>5</v>
      </c>
      <c r="U137">
        <f>_xlfn.XLOOKUP($A137,'2021-2022'!$B$4:$B$23,'2021-2022'!V$4:V$23)</f>
        <v>2</v>
      </c>
      <c r="V137">
        <f>_xlfn.XLOOKUP($A137,'2021-2022'!$B$4:$B$23,'2021-2022'!W$4:W$23)</f>
        <v>127</v>
      </c>
      <c r="W137">
        <f>_xlfn.XLOOKUP($A137,'2021-2022'!$B$4:$B$23,'2021-2022'!X$4:X$23)</f>
        <v>815</v>
      </c>
      <c r="X137">
        <f>_xlfn.XLOOKUP($A137,'2021-2022'!$B$4:$B$23,'2021-2022'!Y$4:Y$23)</f>
        <v>815</v>
      </c>
      <c r="Y137">
        <f>_xlfn.XLOOKUP($A137,'2021-2022'!$B$4:$B$23,'2021-2022'!Z$4:Z$23)</f>
        <v>368</v>
      </c>
      <c r="Z137">
        <f>_xlfn.XLOOKUP($A137,'2021-2022'!$B$4:$B$23,'2021-2022'!AA$4:AA$23)</f>
        <v>10366</v>
      </c>
      <c r="AA137">
        <f>_xlfn.XLOOKUP($A137,'2021-2022'!$B$4:$B$23,'2021-2022'!AB$4:AB$23)</f>
        <v>30</v>
      </c>
      <c r="AB137">
        <f>_xlfn.XLOOKUP($A137,'2021-2022'!$B$4:$B$23,'2021-2022'!AC$4:AC$23)</f>
        <v>160</v>
      </c>
      <c r="AC137">
        <f>_xlfn.XLOOKUP($A137,'2021-2022'!$B$4:$B$23,'2021-2022'!AD$4:AD$23)</f>
        <v>653</v>
      </c>
      <c r="AD137">
        <f>_xlfn.XLOOKUP($A137,'2021-2022'!$B$4:$B$23,'2021-2022'!AE$4:AE$23)</f>
        <v>161</v>
      </c>
      <c r="AE137">
        <f>_xlfn.XLOOKUP($A137,'2021-2022'!$B$4:$B$23,'2021-2022'!AF$4:AF$23)</f>
        <v>39.5</v>
      </c>
      <c r="AF137">
        <f>_xlfn.XLOOKUP($A137,'2021-2022'!$B$4:$B$23,'2021-2022'!AG$4:AG$23)</f>
        <v>46</v>
      </c>
      <c r="AG137">
        <f>_xlfn.XLOOKUP($A137,'2021-2022'!$B$4:$B$23,'2021-2022'!AH$4:AH$23)</f>
        <v>31</v>
      </c>
      <c r="AH137">
        <f>_xlfn.XLOOKUP($A137,'2021-2022'!$B$4:$B$23,'2021-2022'!AI$4:AI$23)</f>
        <v>29</v>
      </c>
      <c r="AI137">
        <f>_xlfn.XLOOKUP($A137,'2021-2022'!$B$4:$B$23,'2021-2022'!AJ$4:AJ$23)</f>
        <v>479.05</v>
      </c>
      <c r="AJ137">
        <f>_xlfn.XLOOKUP($A137,'2021-2022'!$B$4:$B$23,'2021-2022'!AK$4:AK$23)</f>
        <v>42</v>
      </c>
      <c r="AK137">
        <f>_xlfn.XLOOKUP($A137,'2021-2022'!$B$4:$B$23,'2021-2022'!AL$4:AL$23)</f>
        <v>11.405952380952382</v>
      </c>
      <c r="AL137">
        <f>_xlfn.XLOOKUP($A137,'2021-2022'!$B$4:$B$23,'2021-2022'!AM$4:AM$23)</f>
        <v>38446</v>
      </c>
      <c r="AM137">
        <f>_xlfn.XLOOKUP($A137,'2021-2022'!$B$4:$B$23,'2021-2022'!AN$4:AN$23)</f>
        <v>0.25</v>
      </c>
      <c r="AN137">
        <f>_xlfn.XLOOKUP($A137,'2021-2022'!$B$4:$B$23,'2021-2022'!AO$4:AO$23)</f>
        <v>0</v>
      </c>
      <c r="AO137">
        <f>_xlfn.XLOOKUP($A137,'2021-2022'!$B$4:$B$23,'2021-2022'!AP$4:AP$23)</f>
        <v>0</v>
      </c>
      <c r="AP137">
        <f>_xlfn.XLOOKUP($A137,'2021-2022'!$B$4:$B$23,'2021-2022'!AQ$4:AQ$23)</f>
        <v>0</v>
      </c>
      <c r="AQ137">
        <f>_xlfn.XLOOKUP($A137,'2021-2022'!$B$4:$B$23,'2021-2022'!AR$4:AR$23)</f>
        <v>0</v>
      </c>
      <c r="AR137">
        <f>_xlfn.XLOOKUP($A137,'2021-2022'!$B$4:$B$23,'2021-2022'!AS$4:AS$23)</f>
        <v>0</v>
      </c>
      <c r="AS137" t="str">
        <f>_xlfn.XLOOKUP($A137,'2021-2022'!$B$4:$B$23,'2021-2022'!AT$4:AT$23)</f>
        <v>21/22</v>
      </c>
    </row>
    <row r="138" spans="1:45" x14ac:dyDescent="0.25">
      <c r="A138">
        <v>17</v>
      </c>
      <c r="B138" t="str">
        <f>_xlfn.XLOOKUP($A138,'2021-2022'!$B$4:$B$23,'2021-2022'!C$4:C$23)</f>
        <v>Leeds United</v>
      </c>
      <c r="C138">
        <f>_xlfn.XLOOKUP($A138,'2021-2022'!$B$4:$B$23,'2021-2022'!D$4:D$23)</f>
        <v>42</v>
      </c>
      <c r="D138">
        <f>_xlfn.XLOOKUP($A138,'2021-2022'!$B$4:$B$23,'2021-2022'!E$4:E$23)</f>
        <v>79</v>
      </c>
      <c r="E138">
        <f>_xlfn.XLOOKUP($A138,'2021-2022'!$B$4:$B$23,'2021-2022'!F$4:F$23)</f>
        <v>-37</v>
      </c>
      <c r="F138">
        <f>_xlfn.XLOOKUP($A138,'2021-2022'!$B$4:$B$23,'2021-2022'!G$4:G$23)</f>
        <v>5</v>
      </c>
      <c r="G138">
        <f>_xlfn.XLOOKUP($A138,'2021-2022'!$B$4:$B$23,'2021-2022'!H$4:H$23)</f>
        <v>101</v>
      </c>
      <c r="H138">
        <f>_xlfn.XLOOKUP($A138,'2021-2022'!$B$4:$B$23,'2021-2022'!I$4:I$23)</f>
        <v>3</v>
      </c>
      <c r="I138">
        <f>_xlfn.XLOOKUP($A138,'2021-2022'!$B$4:$B$23,'2021-2022'!J$4:J$23)</f>
        <v>44.4</v>
      </c>
      <c r="J138">
        <f>_xlfn.XLOOKUP($A138,'2021-2022'!$B$4:$B$23,'2021-2022'!K$4:K$23)</f>
        <v>67.8</v>
      </c>
      <c r="K138">
        <f>_xlfn.XLOOKUP($A138,'2021-2022'!$B$4:$B$23,'2021-2022'!L$4:L$23)</f>
        <v>-2.3999999999999986</v>
      </c>
      <c r="L138">
        <f>_xlfn.XLOOKUP($A138,'2021-2022'!$B$4:$B$23,'2021-2022'!M$4:M$23)</f>
        <v>480</v>
      </c>
      <c r="M138">
        <f>_xlfn.XLOOKUP($A138,'2021-2022'!$B$4:$B$23,'2021-2022'!N$4:N$23)</f>
        <v>142</v>
      </c>
      <c r="N138">
        <f>_xlfn.XLOOKUP($A138,'2021-2022'!$B$4:$B$23,'2021-2022'!O$4:O$23)</f>
        <v>5</v>
      </c>
      <c r="O138">
        <f>_xlfn.XLOOKUP($A138,'2021-2022'!$B$4:$B$23,'2021-2022'!P$4:P$23)</f>
        <v>4</v>
      </c>
      <c r="P138">
        <f>_xlfn.XLOOKUP($A138,'2021-2022'!$B$4:$B$23,'2021-2022'!Q$4:Q$23)</f>
        <v>33</v>
      </c>
      <c r="Q138">
        <f>_xlfn.XLOOKUP($A138,'2021-2022'!$B$4:$B$23,'2021-2022'!R$4:R$23)</f>
        <v>9</v>
      </c>
      <c r="R138">
        <f>_xlfn.XLOOKUP($A138,'2021-2022'!$B$4:$B$23,'2021-2022'!S$4:S$23)</f>
        <v>0</v>
      </c>
      <c r="S138">
        <f>_xlfn.XLOOKUP($A138,'2021-2022'!$B$4:$B$23,'2021-2022'!T$4:T$23)</f>
        <v>63</v>
      </c>
      <c r="T138">
        <f>_xlfn.XLOOKUP($A138,'2021-2022'!$B$4:$B$23,'2021-2022'!U$4:U$23)</f>
        <v>1</v>
      </c>
      <c r="U138">
        <f>_xlfn.XLOOKUP($A138,'2021-2022'!$B$4:$B$23,'2021-2022'!V$4:V$23)</f>
        <v>5</v>
      </c>
      <c r="V138">
        <f>_xlfn.XLOOKUP($A138,'2021-2022'!$B$4:$B$23,'2021-2022'!W$4:W$23)</f>
        <v>146</v>
      </c>
      <c r="W138">
        <f>_xlfn.XLOOKUP($A138,'2021-2022'!$B$4:$B$23,'2021-2022'!X$4:X$23)</f>
        <v>621</v>
      </c>
      <c r="X138">
        <f>_xlfn.XLOOKUP($A138,'2021-2022'!$B$4:$B$23,'2021-2022'!Y$4:Y$23)</f>
        <v>621</v>
      </c>
      <c r="Y138">
        <f>_xlfn.XLOOKUP($A138,'2021-2022'!$B$4:$B$23,'2021-2022'!Z$4:Z$23)</f>
        <v>469</v>
      </c>
      <c r="Z138">
        <f>_xlfn.XLOOKUP($A138,'2021-2022'!$B$4:$B$23,'2021-2022'!AA$4:AA$23)</f>
        <v>13989</v>
      </c>
      <c r="AA138">
        <f>_xlfn.XLOOKUP($A138,'2021-2022'!$B$4:$B$23,'2021-2022'!AB$4:AB$23)</f>
        <v>66</v>
      </c>
      <c r="AB138">
        <f>_xlfn.XLOOKUP($A138,'2021-2022'!$B$4:$B$23,'2021-2022'!AC$4:AC$23)</f>
        <v>2306</v>
      </c>
      <c r="AC138">
        <f>_xlfn.XLOOKUP($A138,'2021-2022'!$B$4:$B$23,'2021-2022'!AD$4:AD$23)</f>
        <v>648</v>
      </c>
      <c r="AD138">
        <f>_xlfn.XLOOKUP($A138,'2021-2022'!$B$4:$B$23,'2021-2022'!AE$4:AE$23)</f>
        <v>170</v>
      </c>
      <c r="AE138">
        <f>_xlfn.XLOOKUP($A138,'2021-2022'!$B$4:$B$23,'2021-2022'!AF$4:AF$23)</f>
        <v>61.05</v>
      </c>
      <c r="AF138">
        <f>_xlfn.XLOOKUP($A138,'2021-2022'!$B$4:$B$23,'2021-2022'!AG$4:AG$23)</f>
        <v>0</v>
      </c>
      <c r="AG138">
        <f>_xlfn.XLOOKUP($A138,'2021-2022'!$B$4:$B$23,'2021-2022'!AH$4:AH$23)</f>
        <v>14</v>
      </c>
      <c r="AH138">
        <f>_xlfn.XLOOKUP($A138,'2021-2022'!$B$4:$B$23,'2021-2022'!AI$4:AI$23)</f>
        <v>14</v>
      </c>
      <c r="AI138">
        <f>_xlfn.XLOOKUP($A138,'2021-2022'!$B$4:$B$23,'2021-2022'!AJ$4:AJ$23)</f>
        <v>299.45</v>
      </c>
      <c r="AJ138">
        <f>_xlfn.XLOOKUP($A138,'2021-2022'!$B$4:$B$23,'2021-2022'!AK$4:AK$23)</f>
        <v>35</v>
      </c>
      <c r="AK138">
        <f>_xlfn.XLOOKUP($A138,'2021-2022'!$B$4:$B$23,'2021-2022'!AL$4:AL$23)</f>
        <v>8.555714285714286</v>
      </c>
      <c r="AL138">
        <f>_xlfn.XLOOKUP($A138,'2021-2022'!$B$4:$B$23,'2021-2022'!AM$4:AM$23)</f>
        <v>36308</v>
      </c>
      <c r="AM138">
        <f>_xlfn.XLOOKUP($A138,'2021-2022'!$B$4:$B$23,'2021-2022'!AN$4:AN$23)</f>
        <v>-0.03</v>
      </c>
      <c r="AN138">
        <f>_xlfn.XLOOKUP($A138,'2021-2022'!$B$4:$B$23,'2021-2022'!AO$4:AO$23)</f>
        <v>0</v>
      </c>
      <c r="AO138">
        <f>_xlfn.XLOOKUP($A138,'2021-2022'!$B$4:$B$23,'2021-2022'!AP$4:AP$23)</f>
        <v>0</v>
      </c>
      <c r="AP138">
        <f>_xlfn.XLOOKUP($A138,'2021-2022'!$B$4:$B$23,'2021-2022'!AQ$4:AQ$23)</f>
        <v>0</v>
      </c>
      <c r="AQ138">
        <f>_xlfn.XLOOKUP($A138,'2021-2022'!$B$4:$B$23,'2021-2022'!AR$4:AR$23)</f>
        <v>0</v>
      </c>
      <c r="AR138">
        <f>_xlfn.XLOOKUP($A138,'2021-2022'!$B$4:$B$23,'2021-2022'!AS$4:AS$23)</f>
        <v>0</v>
      </c>
      <c r="AS138" t="str">
        <f>_xlfn.XLOOKUP($A138,'2021-2022'!$B$4:$B$23,'2021-2022'!AT$4:AT$23)</f>
        <v>21/22</v>
      </c>
    </row>
    <row r="139" spans="1:45" x14ac:dyDescent="0.25">
      <c r="A139">
        <v>18</v>
      </c>
      <c r="B139" t="str">
        <f>_xlfn.XLOOKUP($A139,'2021-2022'!$B$4:$B$23,'2021-2022'!C$4:C$23)</f>
        <v>Burnley</v>
      </c>
      <c r="C139">
        <f>_xlfn.XLOOKUP($A139,'2021-2022'!$B$4:$B$23,'2021-2022'!D$4:D$23)</f>
        <v>34</v>
      </c>
      <c r="D139">
        <f>_xlfn.XLOOKUP($A139,'2021-2022'!$B$4:$B$23,'2021-2022'!E$4:E$23)</f>
        <v>53</v>
      </c>
      <c r="E139">
        <f>_xlfn.XLOOKUP($A139,'2021-2022'!$B$4:$B$23,'2021-2022'!F$4:F$23)</f>
        <v>-19</v>
      </c>
      <c r="F139">
        <f>_xlfn.XLOOKUP($A139,'2021-2022'!$B$4:$B$23,'2021-2022'!G$4:G$23)</f>
        <v>9</v>
      </c>
      <c r="G139">
        <f>_xlfn.XLOOKUP($A139,'2021-2022'!$B$4:$B$23,'2021-2022'!H$4:H$23)</f>
        <v>68</v>
      </c>
      <c r="H139">
        <f>_xlfn.XLOOKUP($A139,'2021-2022'!$B$4:$B$23,'2021-2022'!I$4:I$23)</f>
        <v>2</v>
      </c>
      <c r="I139">
        <f>_xlfn.XLOOKUP($A139,'2021-2022'!$B$4:$B$23,'2021-2022'!J$4:J$23)</f>
        <v>39.700000000000003</v>
      </c>
      <c r="J139">
        <f>_xlfn.XLOOKUP($A139,'2021-2022'!$B$4:$B$23,'2021-2022'!K$4:K$23)</f>
        <v>57.1</v>
      </c>
      <c r="K139">
        <f>_xlfn.XLOOKUP($A139,'2021-2022'!$B$4:$B$23,'2021-2022'!L$4:L$23)</f>
        <v>-5.7000000000000028</v>
      </c>
      <c r="L139">
        <f>_xlfn.XLOOKUP($A139,'2021-2022'!$B$4:$B$23,'2021-2022'!M$4:M$23)</f>
        <v>405</v>
      </c>
      <c r="M139">
        <f>_xlfn.XLOOKUP($A139,'2021-2022'!$B$4:$B$23,'2021-2022'!N$4:N$23)</f>
        <v>119</v>
      </c>
      <c r="N139">
        <f>_xlfn.XLOOKUP($A139,'2021-2022'!$B$4:$B$23,'2021-2022'!O$4:O$23)</f>
        <v>1</v>
      </c>
      <c r="O139">
        <f>_xlfn.XLOOKUP($A139,'2021-2022'!$B$4:$B$23,'2021-2022'!P$4:P$23)</f>
        <v>11</v>
      </c>
      <c r="P139">
        <f>_xlfn.XLOOKUP($A139,'2021-2022'!$B$4:$B$23,'2021-2022'!Q$4:Q$23)</f>
        <v>30</v>
      </c>
      <c r="Q139">
        <f>_xlfn.XLOOKUP($A139,'2021-2022'!$B$4:$B$23,'2021-2022'!R$4:R$23)</f>
        <v>4</v>
      </c>
      <c r="R139">
        <f>_xlfn.XLOOKUP($A139,'2021-2022'!$B$4:$B$23,'2021-2022'!S$4:S$23)</f>
        <v>1</v>
      </c>
      <c r="S139">
        <f>_xlfn.XLOOKUP($A139,'2021-2022'!$B$4:$B$23,'2021-2022'!T$4:T$23)</f>
        <v>101</v>
      </c>
      <c r="T139">
        <f>_xlfn.XLOOKUP($A139,'2021-2022'!$B$4:$B$23,'2021-2022'!U$4:U$23)</f>
        <v>2</v>
      </c>
      <c r="U139">
        <f>_xlfn.XLOOKUP($A139,'2021-2022'!$B$4:$B$23,'2021-2022'!V$4:V$23)</f>
        <v>5</v>
      </c>
      <c r="V139">
        <f>_xlfn.XLOOKUP($A139,'2021-2022'!$B$4:$B$23,'2021-2022'!W$4:W$23)</f>
        <v>127</v>
      </c>
      <c r="W139">
        <f>_xlfn.XLOOKUP($A139,'2021-2022'!$B$4:$B$23,'2021-2022'!X$4:X$23)</f>
        <v>887</v>
      </c>
      <c r="X139">
        <f>_xlfn.XLOOKUP($A139,'2021-2022'!$B$4:$B$23,'2021-2022'!Y$4:Y$23)</f>
        <v>887</v>
      </c>
      <c r="Y139">
        <f>_xlfn.XLOOKUP($A139,'2021-2022'!$B$4:$B$23,'2021-2022'!Z$4:Z$23)</f>
        <v>394</v>
      </c>
      <c r="Z139">
        <f>_xlfn.XLOOKUP($A139,'2021-2022'!$B$4:$B$23,'2021-2022'!AA$4:AA$23)</f>
        <v>9454</v>
      </c>
      <c r="AA139">
        <f>_xlfn.XLOOKUP($A139,'2021-2022'!$B$4:$B$23,'2021-2022'!AB$4:AB$23)</f>
        <v>32</v>
      </c>
      <c r="AB139">
        <f>_xlfn.XLOOKUP($A139,'2021-2022'!$B$4:$B$23,'2021-2022'!AC$4:AC$23)</f>
        <v>1999</v>
      </c>
      <c r="AC139">
        <f>_xlfn.XLOOKUP($A139,'2021-2022'!$B$4:$B$23,'2021-2022'!AD$4:AD$23)</f>
        <v>747</v>
      </c>
      <c r="AD139">
        <f>_xlfn.XLOOKUP($A139,'2021-2022'!$B$4:$B$23,'2021-2022'!AE$4:AE$23)</f>
        <v>183</v>
      </c>
      <c r="AE139">
        <f>_xlfn.XLOOKUP($A139,'2021-2022'!$B$4:$B$23,'2021-2022'!AF$4:AF$23)</f>
        <v>49.4</v>
      </c>
      <c r="AF139">
        <f>_xlfn.XLOOKUP($A139,'2021-2022'!$B$4:$B$23,'2021-2022'!AG$4:AG$23)</f>
        <v>40.5</v>
      </c>
      <c r="AG139">
        <f>_xlfn.XLOOKUP($A139,'2021-2022'!$B$4:$B$23,'2021-2022'!AH$4:AH$23)</f>
        <v>8</v>
      </c>
      <c r="AH139">
        <f>_xlfn.XLOOKUP($A139,'2021-2022'!$B$4:$B$23,'2021-2022'!AI$4:AI$23)</f>
        <v>6</v>
      </c>
      <c r="AI139">
        <f>_xlfn.XLOOKUP($A139,'2021-2022'!$B$4:$B$23,'2021-2022'!AJ$4:AJ$23)</f>
        <v>138.05000000000001</v>
      </c>
      <c r="AJ139">
        <f>_xlfn.XLOOKUP($A139,'2021-2022'!$B$4:$B$23,'2021-2022'!AK$4:AK$23)</f>
        <v>35</v>
      </c>
      <c r="AK139">
        <f>_xlfn.XLOOKUP($A139,'2021-2022'!$B$4:$B$23,'2021-2022'!AL$4:AL$23)</f>
        <v>3.9442857142857144</v>
      </c>
      <c r="AL139">
        <f>_xlfn.XLOOKUP($A139,'2021-2022'!$B$4:$B$23,'2021-2022'!AM$4:AM$23)</f>
        <v>19278</v>
      </c>
      <c r="AM139">
        <f>_xlfn.XLOOKUP($A139,'2021-2022'!$B$4:$B$23,'2021-2022'!AN$4:AN$23)</f>
        <v>0.06</v>
      </c>
      <c r="AN139">
        <f>_xlfn.XLOOKUP($A139,'2021-2022'!$B$4:$B$23,'2021-2022'!AO$4:AO$23)</f>
        <v>0</v>
      </c>
      <c r="AO139">
        <f>_xlfn.XLOOKUP($A139,'2021-2022'!$B$4:$B$23,'2021-2022'!AP$4:AP$23)</f>
        <v>0</v>
      </c>
      <c r="AP139">
        <f>_xlfn.XLOOKUP($A139,'2021-2022'!$B$4:$B$23,'2021-2022'!AQ$4:AQ$23)</f>
        <v>0</v>
      </c>
      <c r="AQ139">
        <f>_xlfn.XLOOKUP($A139,'2021-2022'!$B$4:$B$23,'2021-2022'!AR$4:AR$23)</f>
        <v>1</v>
      </c>
      <c r="AR139">
        <f>_xlfn.XLOOKUP($A139,'2021-2022'!$B$4:$B$23,'2021-2022'!AS$4:AS$23)</f>
        <v>0</v>
      </c>
      <c r="AS139" t="str">
        <f>_xlfn.XLOOKUP($A139,'2021-2022'!$B$4:$B$23,'2021-2022'!AT$4:AT$23)</f>
        <v>21/22</v>
      </c>
    </row>
    <row r="140" spans="1:45" x14ac:dyDescent="0.25">
      <c r="A140">
        <v>19</v>
      </c>
      <c r="B140" t="str">
        <f>_xlfn.XLOOKUP($A140,'2021-2022'!$B$4:$B$23,'2021-2022'!C$4:C$23)</f>
        <v>Watford</v>
      </c>
      <c r="C140">
        <f>_xlfn.XLOOKUP($A140,'2021-2022'!$B$4:$B$23,'2021-2022'!D$4:D$23)</f>
        <v>34</v>
      </c>
      <c r="D140">
        <f>_xlfn.XLOOKUP($A140,'2021-2022'!$B$4:$B$23,'2021-2022'!E$4:E$23)</f>
        <v>77</v>
      </c>
      <c r="E140">
        <f>_xlfn.XLOOKUP($A140,'2021-2022'!$B$4:$B$23,'2021-2022'!F$4:F$23)</f>
        <v>-43</v>
      </c>
      <c r="F140">
        <f>_xlfn.XLOOKUP($A140,'2021-2022'!$B$4:$B$23,'2021-2022'!G$4:G$23)</f>
        <v>4</v>
      </c>
      <c r="G140">
        <f>_xlfn.XLOOKUP($A140,'2021-2022'!$B$4:$B$23,'2021-2022'!H$4:H$23)</f>
        <v>63</v>
      </c>
      <c r="H140">
        <f>_xlfn.XLOOKUP($A140,'2021-2022'!$B$4:$B$23,'2021-2022'!I$4:I$23)</f>
        <v>3</v>
      </c>
      <c r="I140">
        <f>_xlfn.XLOOKUP($A140,'2021-2022'!$B$4:$B$23,'2021-2022'!J$4:J$23)</f>
        <v>40</v>
      </c>
      <c r="J140">
        <f>_xlfn.XLOOKUP($A140,'2021-2022'!$B$4:$B$23,'2021-2022'!K$4:K$23)</f>
        <v>64.5</v>
      </c>
      <c r="K140">
        <f>_xlfn.XLOOKUP($A140,'2021-2022'!$B$4:$B$23,'2021-2022'!L$4:L$23)</f>
        <v>-6</v>
      </c>
      <c r="L140">
        <f>_xlfn.XLOOKUP($A140,'2021-2022'!$B$4:$B$23,'2021-2022'!M$4:M$23)</f>
        <v>397</v>
      </c>
      <c r="M140">
        <f>_xlfn.XLOOKUP($A140,'2021-2022'!$B$4:$B$23,'2021-2022'!N$4:N$23)</f>
        <v>123</v>
      </c>
      <c r="N140">
        <f>_xlfn.XLOOKUP($A140,'2021-2022'!$B$4:$B$23,'2021-2022'!O$4:O$23)</f>
        <v>1</v>
      </c>
      <c r="O140">
        <f>_xlfn.XLOOKUP($A140,'2021-2022'!$B$4:$B$23,'2021-2022'!P$4:P$23)</f>
        <v>8</v>
      </c>
      <c r="P140">
        <f>_xlfn.XLOOKUP($A140,'2021-2022'!$B$4:$B$23,'2021-2022'!Q$4:Q$23)</f>
        <v>34</v>
      </c>
      <c r="Q140">
        <f>_xlfn.XLOOKUP($A140,'2021-2022'!$B$4:$B$23,'2021-2022'!R$4:R$23)</f>
        <v>0</v>
      </c>
      <c r="R140">
        <f>_xlfn.XLOOKUP($A140,'2021-2022'!$B$4:$B$23,'2021-2022'!S$4:S$23)</f>
        <v>2</v>
      </c>
      <c r="S140">
        <f>_xlfn.XLOOKUP($A140,'2021-2022'!$B$4:$B$23,'2021-2022'!T$4:T$23)</f>
        <v>53</v>
      </c>
      <c r="T140">
        <f>_xlfn.XLOOKUP($A140,'2021-2022'!$B$4:$B$23,'2021-2022'!U$4:U$23)</f>
        <v>3</v>
      </c>
      <c r="U140">
        <f>_xlfn.XLOOKUP($A140,'2021-2022'!$B$4:$B$23,'2021-2022'!V$4:V$23)</f>
        <v>7</v>
      </c>
      <c r="V140">
        <f>_xlfn.XLOOKUP($A140,'2021-2022'!$B$4:$B$23,'2021-2022'!W$4:W$23)</f>
        <v>113</v>
      </c>
      <c r="W140">
        <f>_xlfn.XLOOKUP($A140,'2021-2022'!$B$4:$B$23,'2021-2022'!X$4:X$23)</f>
        <v>899</v>
      </c>
      <c r="X140">
        <f>_xlfn.XLOOKUP($A140,'2021-2022'!$B$4:$B$23,'2021-2022'!Y$4:Y$23)</f>
        <v>899</v>
      </c>
      <c r="Y140">
        <f>_xlfn.XLOOKUP($A140,'2021-2022'!$B$4:$B$23,'2021-2022'!Z$4:Z$23)</f>
        <v>442</v>
      </c>
      <c r="Z140">
        <f>_xlfn.XLOOKUP($A140,'2021-2022'!$B$4:$B$23,'2021-2022'!AA$4:AA$23)</f>
        <v>10423</v>
      </c>
      <c r="AA140">
        <f>_xlfn.XLOOKUP($A140,'2021-2022'!$B$4:$B$23,'2021-2022'!AB$4:AB$23)</f>
        <v>35</v>
      </c>
      <c r="AB140">
        <f>_xlfn.XLOOKUP($A140,'2021-2022'!$B$4:$B$23,'2021-2022'!AC$4:AC$23)</f>
        <v>2005</v>
      </c>
      <c r="AC140">
        <f>_xlfn.XLOOKUP($A140,'2021-2022'!$B$4:$B$23,'2021-2022'!AD$4:AD$23)</f>
        <v>610</v>
      </c>
      <c r="AD140">
        <f>_xlfn.XLOOKUP($A140,'2021-2022'!$B$4:$B$23,'2021-2022'!AE$4:AE$23)</f>
        <v>161</v>
      </c>
      <c r="AE140">
        <f>_xlfn.XLOOKUP($A140,'2021-2022'!$B$4:$B$23,'2021-2022'!AF$4:AF$23)</f>
        <v>43.5</v>
      </c>
      <c r="AF140">
        <f>_xlfn.XLOOKUP($A140,'2021-2022'!$B$4:$B$23,'2021-2022'!AG$4:AG$23)</f>
        <v>12.85</v>
      </c>
      <c r="AG140">
        <f>_xlfn.XLOOKUP($A140,'2021-2022'!$B$4:$B$23,'2021-2022'!AH$4:AH$23)</f>
        <v>31</v>
      </c>
      <c r="AH140">
        <f>_xlfn.XLOOKUP($A140,'2021-2022'!$B$4:$B$23,'2021-2022'!AI$4:AI$23)</f>
        <v>29</v>
      </c>
      <c r="AI140">
        <f>_xlfn.XLOOKUP($A140,'2021-2022'!$B$4:$B$23,'2021-2022'!AJ$4:AJ$23)</f>
        <v>156.19999999999999</v>
      </c>
      <c r="AJ140">
        <f>_xlfn.XLOOKUP($A140,'2021-2022'!$B$4:$B$23,'2021-2022'!AK$4:AK$23)</f>
        <v>47</v>
      </c>
      <c r="AK140">
        <f>_xlfn.XLOOKUP($A140,'2021-2022'!$B$4:$B$23,'2021-2022'!AL$4:AL$23)</f>
        <v>3.3234042553191485</v>
      </c>
      <c r="AL140">
        <f>_xlfn.XLOOKUP($A140,'2021-2022'!$B$4:$B$23,'2021-2022'!AM$4:AM$23)</f>
        <v>20614</v>
      </c>
      <c r="AM140">
        <f>_xlfn.XLOOKUP($A140,'2021-2022'!$B$4:$B$23,'2021-2022'!AN$4:AN$23)</f>
        <v>-0.1</v>
      </c>
      <c r="AN140">
        <f>_xlfn.XLOOKUP($A140,'2021-2022'!$B$4:$B$23,'2021-2022'!AO$4:AO$23)</f>
        <v>0</v>
      </c>
      <c r="AO140">
        <f>_xlfn.XLOOKUP($A140,'2021-2022'!$B$4:$B$23,'2021-2022'!AP$4:AP$23)</f>
        <v>1</v>
      </c>
      <c r="AP140">
        <f>_xlfn.XLOOKUP($A140,'2021-2022'!$B$4:$B$23,'2021-2022'!AQ$4:AQ$23)</f>
        <v>0</v>
      </c>
      <c r="AQ140">
        <f>_xlfn.XLOOKUP($A140,'2021-2022'!$B$4:$B$23,'2021-2022'!AR$4:AR$23)</f>
        <v>1</v>
      </c>
      <c r="AR140">
        <f>_xlfn.XLOOKUP($A140,'2021-2022'!$B$4:$B$23,'2021-2022'!AS$4:AS$23)</f>
        <v>0</v>
      </c>
      <c r="AS140" t="str">
        <f>_xlfn.XLOOKUP($A140,'2021-2022'!$B$4:$B$23,'2021-2022'!AT$4:AT$23)</f>
        <v>21/22</v>
      </c>
    </row>
    <row r="141" spans="1:45" x14ac:dyDescent="0.25">
      <c r="A141">
        <v>20</v>
      </c>
      <c r="B141" t="str">
        <f>_xlfn.XLOOKUP($A141,'2021-2022'!$B$4:$B$23,'2021-2022'!C$4:C$23)</f>
        <v>Norwich City</v>
      </c>
      <c r="C141">
        <f>_xlfn.XLOOKUP($A141,'2021-2022'!$B$4:$B$23,'2021-2022'!D$4:D$23)</f>
        <v>23</v>
      </c>
      <c r="D141">
        <f>_xlfn.XLOOKUP($A141,'2021-2022'!$B$4:$B$23,'2021-2022'!E$4:E$23)</f>
        <v>84</v>
      </c>
      <c r="E141">
        <f>_xlfn.XLOOKUP($A141,'2021-2022'!$B$4:$B$23,'2021-2022'!F$4:F$23)</f>
        <v>-61</v>
      </c>
      <c r="F141">
        <f>_xlfn.XLOOKUP($A141,'2021-2022'!$B$4:$B$23,'2021-2022'!G$4:G$23)</f>
        <v>6</v>
      </c>
      <c r="G141">
        <f>_xlfn.XLOOKUP($A141,'2021-2022'!$B$4:$B$23,'2021-2022'!H$4:H$23)</f>
        <v>57</v>
      </c>
      <c r="H141">
        <f>_xlfn.XLOOKUP($A141,'2021-2022'!$B$4:$B$23,'2021-2022'!I$4:I$23)</f>
        <v>1</v>
      </c>
      <c r="I141">
        <f>_xlfn.XLOOKUP($A141,'2021-2022'!$B$4:$B$23,'2021-2022'!J$4:J$23)</f>
        <v>32.299999999999997</v>
      </c>
      <c r="J141">
        <f>_xlfn.XLOOKUP($A141,'2021-2022'!$B$4:$B$23,'2021-2022'!K$4:K$23)</f>
        <v>75.5</v>
      </c>
      <c r="K141">
        <f>_xlfn.XLOOKUP($A141,'2021-2022'!$B$4:$B$23,'2021-2022'!L$4:L$23)</f>
        <v>-9.2999999999999972</v>
      </c>
      <c r="L141">
        <f>_xlfn.XLOOKUP($A141,'2021-2022'!$B$4:$B$23,'2021-2022'!M$4:M$23)</f>
        <v>370</v>
      </c>
      <c r="M141">
        <f>_xlfn.XLOOKUP($A141,'2021-2022'!$B$4:$B$23,'2021-2022'!N$4:N$23)</f>
        <v>104</v>
      </c>
      <c r="N141">
        <f>_xlfn.XLOOKUP($A141,'2021-2022'!$B$4:$B$23,'2021-2022'!O$4:O$23)</f>
        <v>3</v>
      </c>
      <c r="O141">
        <f>_xlfn.XLOOKUP($A141,'2021-2022'!$B$4:$B$23,'2021-2022'!P$4:P$23)</f>
        <v>5</v>
      </c>
      <c r="P141">
        <f>_xlfn.XLOOKUP($A141,'2021-2022'!$B$4:$B$23,'2021-2022'!Q$4:Q$23)</f>
        <v>20</v>
      </c>
      <c r="Q141">
        <f>_xlfn.XLOOKUP($A141,'2021-2022'!$B$4:$B$23,'2021-2022'!R$4:R$23)</f>
        <v>3</v>
      </c>
      <c r="R141">
        <f>_xlfn.XLOOKUP($A141,'2021-2022'!$B$4:$B$23,'2021-2022'!S$4:S$23)</f>
        <v>1</v>
      </c>
      <c r="S141">
        <f>_xlfn.XLOOKUP($A141,'2021-2022'!$B$4:$B$23,'2021-2022'!T$4:T$23)</f>
        <v>55</v>
      </c>
      <c r="T141">
        <f>_xlfn.XLOOKUP($A141,'2021-2022'!$B$4:$B$23,'2021-2022'!U$4:U$23)</f>
        <v>2</v>
      </c>
      <c r="U141">
        <f>_xlfn.XLOOKUP($A141,'2021-2022'!$B$4:$B$23,'2021-2022'!V$4:V$23)</f>
        <v>12</v>
      </c>
      <c r="V141">
        <f>_xlfn.XLOOKUP($A141,'2021-2022'!$B$4:$B$23,'2021-2022'!W$4:W$23)</f>
        <v>139</v>
      </c>
      <c r="W141">
        <f>_xlfn.XLOOKUP($A141,'2021-2022'!$B$4:$B$23,'2021-2022'!X$4:X$23)</f>
        <v>860</v>
      </c>
      <c r="X141">
        <f>_xlfn.XLOOKUP($A141,'2021-2022'!$B$4:$B$23,'2021-2022'!Y$4:Y$23)</f>
        <v>860</v>
      </c>
      <c r="Y141">
        <f>_xlfn.XLOOKUP($A141,'2021-2022'!$B$4:$B$23,'2021-2022'!Z$4:Z$23)</f>
        <v>356</v>
      </c>
      <c r="Z141">
        <f>_xlfn.XLOOKUP($A141,'2021-2022'!$B$4:$B$23,'2021-2022'!AA$4:AA$23)</f>
        <v>12164</v>
      </c>
      <c r="AA141">
        <f>_xlfn.XLOOKUP($A141,'2021-2022'!$B$4:$B$23,'2021-2022'!AB$4:AB$23)</f>
        <v>50</v>
      </c>
      <c r="AB141">
        <f>_xlfn.XLOOKUP($A141,'2021-2022'!$B$4:$B$23,'2021-2022'!AC$4:AC$23)</f>
        <v>2289</v>
      </c>
      <c r="AC141">
        <f>_xlfn.XLOOKUP($A141,'2021-2022'!$B$4:$B$23,'2021-2022'!AD$4:AD$23)</f>
        <v>568</v>
      </c>
      <c r="AD141">
        <f>_xlfn.XLOOKUP($A141,'2021-2022'!$B$4:$B$23,'2021-2022'!AE$4:AE$23)</f>
        <v>165</v>
      </c>
      <c r="AE141">
        <f>_xlfn.XLOOKUP($A141,'2021-2022'!$B$4:$B$23,'2021-2022'!AF$4:AF$23)</f>
        <v>63.55</v>
      </c>
      <c r="AF141">
        <f>_xlfn.XLOOKUP($A141,'2021-2022'!$B$4:$B$23,'2021-2022'!AG$4:AG$23)</f>
        <v>38.4</v>
      </c>
      <c r="AG141">
        <f>_xlfn.XLOOKUP($A141,'2021-2022'!$B$4:$B$23,'2021-2022'!AH$4:AH$23)</f>
        <v>32</v>
      </c>
      <c r="AH141">
        <f>_xlfn.XLOOKUP($A141,'2021-2022'!$B$4:$B$23,'2021-2022'!AI$4:AI$23)</f>
        <v>31</v>
      </c>
      <c r="AI141">
        <f>_xlfn.XLOOKUP($A141,'2021-2022'!$B$4:$B$23,'2021-2022'!AJ$4:AJ$23)</f>
        <v>163.19999999999999</v>
      </c>
      <c r="AJ141">
        <f>_xlfn.XLOOKUP($A141,'2021-2022'!$B$4:$B$23,'2021-2022'!AK$4:AK$23)</f>
        <v>45</v>
      </c>
      <c r="AK141">
        <f>_xlfn.XLOOKUP($A141,'2021-2022'!$B$4:$B$23,'2021-2022'!AL$4:AL$23)</f>
        <v>3.6266666666666665</v>
      </c>
      <c r="AL141">
        <f>_xlfn.XLOOKUP($A141,'2021-2022'!$B$4:$B$23,'2021-2022'!AM$4:AM$23)</f>
        <v>26836</v>
      </c>
      <c r="AM141">
        <f>_xlfn.XLOOKUP($A141,'2021-2022'!$B$4:$B$23,'2021-2022'!AN$4:AN$23)</f>
        <v>0.01</v>
      </c>
      <c r="AN141">
        <f>_xlfn.XLOOKUP($A141,'2021-2022'!$B$4:$B$23,'2021-2022'!AO$4:AO$23)</f>
        <v>0</v>
      </c>
      <c r="AO141">
        <f>_xlfn.XLOOKUP($A141,'2021-2022'!$B$4:$B$23,'2021-2022'!AP$4:AP$23)</f>
        <v>1</v>
      </c>
      <c r="AP141">
        <f>_xlfn.XLOOKUP($A141,'2021-2022'!$B$4:$B$23,'2021-2022'!AQ$4:AQ$23)</f>
        <v>0</v>
      </c>
      <c r="AQ141">
        <f>_xlfn.XLOOKUP($A141,'2021-2022'!$B$4:$B$23,'2021-2022'!AR$4:AR$23)</f>
        <v>1</v>
      </c>
      <c r="AR141">
        <f>_xlfn.XLOOKUP($A141,'2021-2022'!$B$4:$B$23,'2021-2022'!AS$4:AS$23)</f>
        <v>0</v>
      </c>
      <c r="AS141" t="str">
        <f>_xlfn.XLOOKUP($A141,'2021-2022'!$B$4:$B$23,'2021-2022'!AT$4:AT$23)</f>
        <v>21/22</v>
      </c>
    </row>
    <row r="142" spans="1:45" x14ac:dyDescent="0.25">
      <c r="A142">
        <v>1</v>
      </c>
      <c r="B142" t="str">
        <f>_xlfn.XLOOKUP($A142,'2022-2023'!$B$4:$B$23,'2022-2023'!C$4:C$23)</f>
        <v>Manchester City</v>
      </c>
      <c r="C142">
        <f>_xlfn.XLOOKUP($A142,'2022-2023'!$B$4:$B$23,'2022-2023'!D$4:D$23)</f>
        <v>94</v>
      </c>
      <c r="D142">
        <f>_xlfn.XLOOKUP($A142,'2022-2023'!$B$4:$B$23,'2022-2023'!E$4:E$23)</f>
        <v>33</v>
      </c>
      <c r="E142">
        <f>_xlfn.XLOOKUP($A142,'2022-2023'!$B$4:$B$23,'2022-2023'!F$4:F$23)</f>
        <v>61</v>
      </c>
      <c r="F142">
        <f>_xlfn.XLOOKUP($A142,'2022-2023'!$B$4:$B$23,'2022-2023'!G$4:G$23)</f>
        <v>13</v>
      </c>
      <c r="G142">
        <f>_xlfn.XLOOKUP($A142,'2022-2023'!$B$4:$B$23,'2022-2023'!H$4:H$23)</f>
        <v>44</v>
      </c>
      <c r="H142">
        <f>_xlfn.XLOOKUP($A142,'2022-2023'!$B$4:$B$23,'2022-2023'!I$4:I$23)</f>
        <v>1</v>
      </c>
      <c r="I142">
        <f>_xlfn.XLOOKUP($A142,'2022-2023'!$B$4:$B$23,'2022-2023'!J$4:J$23)</f>
        <v>78.7</v>
      </c>
      <c r="J142">
        <f>_xlfn.XLOOKUP($A142,'2022-2023'!$B$4:$B$23,'2022-2023'!K$4:K$23)</f>
        <v>32.1</v>
      </c>
      <c r="K142">
        <f>_xlfn.XLOOKUP($A142,'2022-2023'!$B$4:$B$23,'2022-2023'!L$4:L$23)</f>
        <v>15.299999999999997</v>
      </c>
      <c r="L142">
        <f>_xlfn.XLOOKUP($A142,'2022-2023'!$B$4:$B$23,'2022-2023'!M$4:M$23)</f>
        <v>590</v>
      </c>
      <c r="M142">
        <f>_xlfn.XLOOKUP($A142,'2022-2023'!$B$4:$B$23,'2022-2023'!N$4:N$23)</f>
        <v>205</v>
      </c>
      <c r="N142">
        <f>_xlfn.XLOOKUP($A142,'2022-2023'!$B$4:$B$23,'2022-2023'!O$4:O$23)</f>
        <v>9</v>
      </c>
      <c r="O142">
        <f>_xlfn.XLOOKUP($A142,'2022-2023'!$B$4:$B$23,'2022-2023'!P$4:P$23)</f>
        <v>12</v>
      </c>
      <c r="P142">
        <f>_xlfn.XLOOKUP($A142,'2022-2023'!$B$4:$B$23,'2022-2023'!Q$4:Q$23)</f>
        <v>82</v>
      </c>
      <c r="Q142">
        <f>_xlfn.XLOOKUP($A142,'2022-2023'!$B$4:$B$23,'2022-2023'!R$4:R$23)</f>
        <v>13</v>
      </c>
      <c r="R142">
        <f>_xlfn.XLOOKUP($A142,'2022-2023'!$B$4:$B$23,'2022-2023'!S$4:S$23)</f>
        <v>7</v>
      </c>
      <c r="S142">
        <f>_xlfn.XLOOKUP($A142,'2022-2023'!$B$4:$B$23,'2022-2023'!T$4:T$23)</f>
        <v>51</v>
      </c>
      <c r="T142">
        <f>_xlfn.XLOOKUP($A142,'2022-2023'!$B$4:$B$23,'2022-2023'!U$4:U$23)</f>
        <v>1</v>
      </c>
      <c r="U142">
        <f>_xlfn.XLOOKUP($A142,'2022-2023'!$B$4:$B$23,'2022-2023'!V$4:V$23)</f>
        <v>3</v>
      </c>
      <c r="V142">
        <f>_xlfn.XLOOKUP($A142,'2022-2023'!$B$4:$B$23,'2022-2023'!W$4:W$23)</f>
        <v>60</v>
      </c>
      <c r="W142">
        <f>_xlfn.XLOOKUP($A142,'2022-2023'!$B$4:$B$23,'2022-2023'!X$4:X$23)</f>
        <v>391</v>
      </c>
      <c r="X142">
        <f>_xlfn.XLOOKUP($A142,'2022-2023'!$B$4:$B$23,'2022-2023'!Y$4:Y$23)</f>
        <v>272</v>
      </c>
      <c r="Y142">
        <f>_xlfn.XLOOKUP($A142,'2022-2023'!$B$4:$B$23,'2022-2023'!Z$4:Z$23)</f>
        <v>347</v>
      </c>
      <c r="Z142">
        <f>_xlfn.XLOOKUP($A142,'2022-2023'!$B$4:$B$23,'2022-2023'!AA$4:AA$23)</f>
        <v>25072</v>
      </c>
      <c r="AA142">
        <f>_xlfn.XLOOKUP($A142,'2022-2023'!$B$4:$B$23,'2022-2023'!AB$4:AB$23)</f>
        <v>94</v>
      </c>
      <c r="AB142">
        <f>_xlfn.XLOOKUP($A142,'2022-2023'!$B$4:$B$23,'2022-2023'!AC$4:AC$23)</f>
        <v>4236</v>
      </c>
      <c r="AC142">
        <f>_xlfn.XLOOKUP($A142,'2022-2023'!$B$4:$B$23,'2022-2023'!AD$4:AD$23)</f>
        <v>742</v>
      </c>
      <c r="AD142">
        <f>_xlfn.XLOOKUP($A142,'2022-2023'!$B$4:$B$23,'2022-2023'!AE$4:AE$23)</f>
        <v>238</v>
      </c>
      <c r="AE142">
        <f>_xlfn.XLOOKUP($A142,'2022-2023'!$B$4:$B$23,'2022-2023'!AF$4:AF$23)</f>
        <v>155</v>
      </c>
      <c r="AF142">
        <f>_xlfn.XLOOKUP($A142,'2022-2023'!$B$4:$B$23,'2022-2023'!AG$4:AG$23)</f>
        <v>162.16999999999999</v>
      </c>
      <c r="AG142">
        <f>_xlfn.XLOOKUP($A142,'2022-2023'!$B$4:$B$23,'2022-2023'!AH$4:AH$23)</f>
        <v>29</v>
      </c>
      <c r="AH142">
        <f>_xlfn.XLOOKUP($A142,'2022-2023'!$B$4:$B$23,'2022-2023'!AI$4:AI$23)</f>
        <v>24</v>
      </c>
      <c r="AI142">
        <f>_xlfn.XLOOKUP($A142,'2022-2023'!$B$4:$B$23,'2022-2023'!AJ$4:AJ$23)</f>
        <v>1150</v>
      </c>
      <c r="AJ142">
        <f>_xlfn.XLOOKUP($A142,'2022-2023'!$B$4:$B$23,'2022-2023'!AK$4:AK$23)</f>
        <v>34</v>
      </c>
      <c r="AK142">
        <f>_xlfn.XLOOKUP($A142,'2022-2023'!$B$4:$B$23,'2022-2023'!AL$4:AL$23)</f>
        <v>33.823529411764703</v>
      </c>
      <c r="AL142">
        <f>_xlfn.XLOOKUP($A142,'2022-2023'!$B$4:$B$23,'2022-2023'!AM$4:AM$23)</f>
        <v>53249</v>
      </c>
      <c r="AM142">
        <f>_xlfn.XLOOKUP($A142,'2022-2023'!$B$4:$B$23,'2022-2023'!AN$4:AN$23)</f>
        <v>0.13</v>
      </c>
      <c r="AN142">
        <f>_xlfn.XLOOKUP($A142,'2022-2023'!$B$4:$B$23,'2022-2023'!AO$4:AO$23)</f>
        <v>1</v>
      </c>
      <c r="AO142">
        <f>_xlfn.XLOOKUP($A142,'2022-2023'!$B$4:$B$23,'2022-2023'!AP$4:AP$23)</f>
        <v>0</v>
      </c>
      <c r="AP142">
        <f>_xlfn.XLOOKUP($A142,'2022-2023'!$B$4:$B$23,'2022-2023'!AQ$4:AQ$23)</f>
        <v>1</v>
      </c>
      <c r="AQ142">
        <f>_xlfn.XLOOKUP($A142,'2022-2023'!$B$4:$B$23,'2022-2023'!AR$4:AR$23)</f>
        <v>0</v>
      </c>
      <c r="AR142">
        <f>_xlfn.XLOOKUP($A142,'2022-2023'!$B$4:$B$23,'2022-2023'!AS$4:AS$23)</f>
        <v>1</v>
      </c>
      <c r="AS142" t="str">
        <f>_xlfn.XLOOKUP($A142,'2022-2023'!$B$4:$B$23,'2022-2023'!AT$4:AT$23)</f>
        <v>22/23</v>
      </c>
    </row>
    <row r="143" spans="1:45" x14ac:dyDescent="0.25">
      <c r="A143">
        <v>2</v>
      </c>
      <c r="B143" t="str">
        <f>_xlfn.XLOOKUP($A143,'2022-2023'!$B$4:$B$23,'2022-2023'!C$4:C$23)</f>
        <v>Arsenal</v>
      </c>
      <c r="C143">
        <f>_xlfn.XLOOKUP($A143,'2022-2023'!$B$4:$B$23,'2022-2023'!D$4:D$23)</f>
        <v>88</v>
      </c>
      <c r="D143">
        <f>_xlfn.XLOOKUP($A143,'2022-2023'!$B$4:$B$23,'2022-2023'!E$4:E$23)</f>
        <v>43</v>
      </c>
      <c r="E143">
        <f>_xlfn.XLOOKUP($A143,'2022-2023'!$B$4:$B$23,'2022-2023'!F$4:F$23)</f>
        <v>45</v>
      </c>
      <c r="F143">
        <f>_xlfn.XLOOKUP($A143,'2022-2023'!$B$4:$B$23,'2022-2023'!G$4:G$23)</f>
        <v>14</v>
      </c>
      <c r="G143">
        <f>_xlfn.XLOOKUP($A143,'2022-2023'!$B$4:$B$23,'2022-2023'!H$4:H$23)</f>
        <v>51</v>
      </c>
      <c r="H143">
        <f>_xlfn.XLOOKUP($A143,'2022-2023'!$B$4:$B$23,'2022-2023'!I$4:I$23)</f>
        <v>0</v>
      </c>
      <c r="I143">
        <f>_xlfn.XLOOKUP($A143,'2022-2023'!$B$4:$B$23,'2022-2023'!J$4:J$23)</f>
        <v>71.900000000000006</v>
      </c>
      <c r="J143">
        <f>_xlfn.XLOOKUP($A143,'2022-2023'!$B$4:$B$23,'2022-2023'!K$4:K$23)</f>
        <v>42</v>
      </c>
      <c r="K143">
        <f>_xlfn.XLOOKUP($A143,'2022-2023'!$B$4:$B$23,'2022-2023'!L$4:L$23)</f>
        <v>16.099999999999994</v>
      </c>
      <c r="L143">
        <f>_xlfn.XLOOKUP($A143,'2022-2023'!$B$4:$B$23,'2022-2023'!M$4:M$23)</f>
        <v>589</v>
      </c>
      <c r="M143">
        <f>_xlfn.XLOOKUP($A143,'2022-2023'!$B$4:$B$23,'2022-2023'!N$4:N$23)</f>
        <v>194</v>
      </c>
      <c r="N143">
        <f>_xlfn.XLOOKUP($A143,'2022-2023'!$B$4:$B$23,'2022-2023'!O$4:O$23)</f>
        <v>3</v>
      </c>
      <c r="O143">
        <f>_xlfn.XLOOKUP($A143,'2022-2023'!$B$4:$B$23,'2022-2023'!P$4:P$23)</f>
        <v>12</v>
      </c>
      <c r="P143">
        <f>_xlfn.XLOOKUP($A143,'2022-2023'!$B$4:$B$23,'2022-2023'!Q$4:Q$23)</f>
        <v>79</v>
      </c>
      <c r="Q143">
        <f>_xlfn.XLOOKUP($A143,'2022-2023'!$B$4:$B$23,'2022-2023'!R$4:R$23)</f>
        <v>9</v>
      </c>
      <c r="R143">
        <f>_xlfn.XLOOKUP($A143,'2022-2023'!$B$4:$B$23,'2022-2023'!S$4:S$23)</f>
        <v>4</v>
      </c>
      <c r="S143">
        <f>_xlfn.XLOOKUP($A143,'2022-2023'!$B$4:$B$23,'2022-2023'!T$4:T$23)</f>
        <v>56</v>
      </c>
      <c r="T143">
        <f>_xlfn.XLOOKUP($A143,'2022-2023'!$B$4:$B$23,'2022-2023'!U$4:U$23)</f>
        <v>1</v>
      </c>
      <c r="U143">
        <f>_xlfn.XLOOKUP($A143,'2022-2023'!$B$4:$B$23,'2022-2023'!V$4:V$23)</f>
        <v>5</v>
      </c>
      <c r="V143">
        <f>_xlfn.XLOOKUP($A143,'2022-2023'!$B$4:$B$23,'2022-2023'!W$4:W$23)</f>
        <v>94</v>
      </c>
      <c r="W143">
        <f>_xlfn.XLOOKUP($A143,'2022-2023'!$B$4:$B$23,'2022-2023'!X$4:X$23)</f>
        <v>567</v>
      </c>
      <c r="X143">
        <f>_xlfn.XLOOKUP($A143,'2022-2023'!$B$4:$B$23,'2022-2023'!Y$4:Y$23)</f>
        <v>343</v>
      </c>
      <c r="Y143">
        <f>_xlfn.XLOOKUP($A143,'2022-2023'!$B$4:$B$23,'2022-2023'!Z$4:Z$23)</f>
        <v>373</v>
      </c>
      <c r="Z143">
        <f>_xlfn.XLOOKUP($A143,'2022-2023'!$B$4:$B$23,'2022-2023'!AA$4:AA$23)</f>
        <v>20450</v>
      </c>
      <c r="AA143">
        <f>_xlfn.XLOOKUP($A143,'2022-2023'!$B$4:$B$23,'2022-2023'!AB$4:AB$23)</f>
        <v>86</v>
      </c>
      <c r="AB143">
        <f>_xlfn.XLOOKUP($A143,'2022-2023'!$B$4:$B$23,'2022-2023'!AC$4:AC$23)</f>
        <v>3031</v>
      </c>
      <c r="AC143">
        <f>_xlfn.XLOOKUP($A143,'2022-2023'!$B$4:$B$23,'2022-2023'!AD$4:AD$23)</f>
        <v>674</v>
      </c>
      <c r="AD143">
        <f>_xlfn.XLOOKUP($A143,'2022-2023'!$B$4:$B$23,'2022-2023'!AE$4:AE$23)</f>
        <v>223</v>
      </c>
      <c r="AE143">
        <f>_xlfn.XLOOKUP($A143,'2022-2023'!$B$4:$B$23,'2022-2023'!AF$4:AF$23)</f>
        <v>191.9</v>
      </c>
      <c r="AF143">
        <f>_xlfn.XLOOKUP($A143,'2022-2023'!$B$4:$B$23,'2022-2023'!AG$4:AG$23)</f>
        <v>23.8</v>
      </c>
      <c r="AG143">
        <f>_xlfn.XLOOKUP($A143,'2022-2023'!$B$4:$B$23,'2022-2023'!AH$4:AH$23)</f>
        <v>25</v>
      </c>
      <c r="AH143">
        <f>_xlfn.XLOOKUP($A143,'2022-2023'!$B$4:$B$23,'2022-2023'!AI$4:AI$23)</f>
        <v>18</v>
      </c>
      <c r="AI143">
        <f>_xlfn.XLOOKUP($A143,'2022-2023'!$B$4:$B$23,'2022-2023'!AJ$4:AJ$23)</f>
        <v>1000</v>
      </c>
      <c r="AJ143">
        <f>_xlfn.XLOOKUP($A143,'2022-2023'!$B$4:$B$23,'2022-2023'!AK$4:AK$23)</f>
        <v>42</v>
      </c>
      <c r="AK143">
        <f>_xlfn.XLOOKUP($A143,'2022-2023'!$B$4:$B$23,'2022-2023'!AL$4:AL$23)</f>
        <v>23.80952380952381</v>
      </c>
      <c r="AL143">
        <f>_xlfn.XLOOKUP($A143,'2022-2023'!$B$4:$B$23,'2022-2023'!AM$4:AM$23)</f>
        <v>60191</v>
      </c>
      <c r="AM143">
        <f>_xlfn.XLOOKUP($A143,'2022-2023'!$B$4:$B$23,'2022-2023'!AN$4:AN$23)</f>
        <v>0.02</v>
      </c>
      <c r="AN143">
        <f>_xlfn.XLOOKUP($A143,'2022-2023'!$B$4:$B$23,'2022-2023'!AO$4:AO$23)</f>
        <v>1</v>
      </c>
      <c r="AO143">
        <f>_xlfn.XLOOKUP($A143,'2022-2023'!$B$4:$B$23,'2022-2023'!AP$4:AP$23)</f>
        <v>0</v>
      </c>
      <c r="AP143">
        <f>_xlfn.XLOOKUP($A143,'2022-2023'!$B$4:$B$23,'2022-2023'!AQ$4:AQ$23)</f>
        <v>1</v>
      </c>
      <c r="AQ143">
        <f>_xlfn.XLOOKUP($A143,'2022-2023'!$B$4:$B$23,'2022-2023'!AR$4:AR$23)</f>
        <v>0</v>
      </c>
      <c r="AR143">
        <f>_xlfn.XLOOKUP($A143,'2022-2023'!$B$4:$B$23,'2022-2023'!AS$4:AS$23)</f>
        <v>1</v>
      </c>
      <c r="AS143" t="str">
        <f>_xlfn.XLOOKUP($A143,'2022-2023'!$B$4:$B$23,'2022-2023'!AT$4:AT$23)</f>
        <v>22/23</v>
      </c>
    </row>
    <row r="144" spans="1:45" x14ac:dyDescent="0.25">
      <c r="A144">
        <v>3</v>
      </c>
      <c r="B144" t="str">
        <f>_xlfn.XLOOKUP($A144,'2022-2023'!$B$4:$B$23,'2022-2023'!C$4:C$23)</f>
        <v>Manchester United</v>
      </c>
      <c r="C144">
        <f>_xlfn.XLOOKUP($A144,'2022-2023'!$B$4:$B$23,'2022-2023'!D$4:D$23)</f>
        <v>58</v>
      </c>
      <c r="D144">
        <f>_xlfn.XLOOKUP($A144,'2022-2023'!$B$4:$B$23,'2022-2023'!E$4:E$23)</f>
        <v>43</v>
      </c>
      <c r="E144">
        <f>_xlfn.XLOOKUP($A144,'2022-2023'!$B$4:$B$23,'2022-2023'!F$4:F$23)</f>
        <v>15</v>
      </c>
      <c r="F144">
        <f>_xlfn.XLOOKUP($A144,'2022-2023'!$B$4:$B$23,'2022-2023'!G$4:G$23)</f>
        <v>17</v>
      </c>
      <c r="G144">
        <f>_xlfn.XLOOKUP($A144,'2022-2023'!$B$4:$B$23,'2022-2023'!H$4:H$23)</f>
        <v>78</v>
      </c>
      <c r="H144">
        <f>_xlfn.XLOOKUP($A144,'2022-2023'!$B$4:$B$23,'2022-2023'!I$4:I$23)</f>
        <v>2</v>
      </c>
      <c r="I144">
        <f>_xlfn.XLOOKUP($A144,'2022-2023'!$B$4:$B$23,'2022-2023'!J$4:J$23)</f>
        <v>67.7</v>
      </c>
      <c r="J144">
        <f>_xlfn.XLOOKUP($A144,'2022-2023'!$B$4:$B$23,'2022-2023'!K$4:K$23)</f>
        <v>50.4</v>
      </c>
      <c r="K144">
        <f>_xlfn.XLOOKUP($A144,'2022-2023'!$B$4:$B$23,'2022-2023'!L$4:L$23)</f>
        <v>-9.7000000000000028</v>
      </c>
      <c r="L144">
        <f>_xlfn.XLOOKUP($A144,'2022-2023'!$B$4:$B$23,'2022-2023'!M$4:M$23)</f>
        <v>590</v>
      </c>
      <c r="M144">
        <f>_xlfn.XLOOKUP($A144,'2022-2023'!$B$4:$B$23,'2022-2023'!N$4:N$23)</f>
        <v>206</v>
      </c>
      <c r="N144">
        <f>_xlfn.XLOOKUP($A144,'2022-2023'!$B$4:$B$23,'2022-2023'!O$4:O$23)</f>
        <v>3</v>
      </c>
      <c r="O144">
        <f>_xlfn.XLOOKUP($A144,'2022-2023'!$B$4:$B$23,'2022-2023'!P$4:P$23)</f>
        <v>7</v>
      </c>
      <c r="P144">
        <f>_xlfn.XLOOKUP($A144,'2022-2023'!$B$4:$B$23,'2022-2023'!Q$4:Q$23)</f>
        <v>53</v>
      </c>
      <c r="Q144">
        <f>_xlfn.XLOOKUP($A144,'2022-2023'!$B$4:$B$23,'2022-2023'!R$4:R$23)</f>
        <v>5</v>
      </c>
      <c r="R144">
        <f>_xlfn.XLOOKUP($A144,'2022-2023'!$B$4:$B$23,'2022-2023'!S$4:S$23)</f>
        <v>10</v>
      </c>
      <c r="S144">
        <f>_xlfn.XLOOKUP($A144,'2022-2023'!$B$4:$B$23,'2022-2023'!T$4:T$23)</f>
        <v>79</v>
      </c>
      <c r="T144">
        <f>_xlfn.XLOOKUP($A144,'2022-2023'!$B$4:$B$23,'2022-2023'!U$4:U$23)</f>
        <v>1</v>
      </c>
      <c r="U144">
        <f>_xlfn.XLOOKUP($A144,'2022-2023'!$B$4:$B$23,'2022-2023'!V$4:V$23)</f>
        <v>3</v>
      </c>
      <c r="V144">
        <f>_xlfn.XLOOKUP($A144,'2022-2023'!$B$4:$B$23,'2022-2023'!W$4:W$23)</f>
        <v>99</v>
      </c>
      <c r="W144">
        <f>_xlfn.XLOOKUP($A144,'2022-2023'!$B$4:$B$23,'2022-2023'!X$4:X$23)</f>
        <v>734</v>
      </c>
      <c r="X144">
        <f>_xlfn.XLOOKUP($A144,'2022-2023'!$B$4:$B$23,'2022-2023'!Y$4:Y$23)</f>
        <v>400</v>
      </c>
      <c r="Y144">
        <f>_xlfn.XLOOKUP($A144,'2022-2023'!$B$4:$B$23,'2022-2023'!Z$4:Z$23)</f>
        <v>424</v>
      </c>
      <c r="Z144">
        <f>_xlfn.XLOOKUP($A144,'2022-2023'!$B$4:$B$23,'2022-2023'!AA$4:AA$23)</f>
        <v>19086</v>
      </c>
      <c r="AA144">
        <f>_xlfn.XLOOKUP($A144,'2022-2023'!$B$4:$B$23,'2022-2023'!AB$4:AB$23)</f>
        <v>105</v>
      </c>
      <c r="AB144">
        <f>_xlfn.XLOOKUP($A144,'2022-2023'!$B$4:$B$23,'2022-2023'!AC$4:AC$23)</f>
        <v>3148</v>
      </c>
      <c r="AC144">
        <f>_xlfn.XLOOKUP($A144,'2022-2023'!$B$4:$B$23,'2022-2023'!AD$4:AD$23)</f>
        <v>517</v>
      </c>
      <c r="AD144">
        <f>_xlfn.XLOOKUP($A144,'2022-2023'!$B$4:$B$23,'2022-2023'!AE$4:AE$23)</f>
        <v>196</v>
      </c>
      <c r="AE144">
        <f>_xlfn.XLOOKUP($A144,'2022-2023'!$B$4:$B$23,'2022-2023'!AF$4:AF$23)</f>
        <v>243.28</v>
      </c>
      <c r="AF144">
        <f>_xlfn.XLOOKUP($A144,'2022-2023'!$B$4:$B$23,'2022-2023'!AG$4:AG$23)</f>
        <v>23.65</v>
      </c>
      <c r="AG144">
        <f>_xlfn.XLOOKUP($A144,'2022-2023'!$B$4:$B$23,'2022-2023'!AH$4:AH$23)</f>
        <v>25</v>
      </c>
      <c r="AH144">
        <f>_xlfn.XLOOKUP($A144,'2022-2023'!$B$4:$B$23,'2022-2023'!AI$4:AI$23)</f>
        <v>20</v>
      </c>
      <c r="AI144">
        <f>_xlfn.XLOOKUP($A144,'2022-2023'!$B$4:$B$23,'2022-2023'!AJ$4:AJ$23)</f>
        <v>848</v>
      </c>
      <c r="AJ144">
        <f>_xlfn.XLOOKUP($A144,'2022-2023'!$B$4:$B$23,'2022-2023'!AK$4:AK$23)</f>
        <v>48</v>
      </c>
      <c r="AK144">
        <f>_xlfn.XLOOKUP($A144,'2022-2023'!$B$4:$B$23,'2022-2023'!AL$4:AL$23)</f>
        <v>17.666666666666668</v>
      </c>
      <c r="AL144">
        <f>_xlfn.XLOOKUP($A144,'2022-2023'!$B$4:$B$23,'2022-2023'!AM$4:AM$23)</f>
        <v>73671</v>
      </c>
      <c r="AM144">
        <f>_xlfn.XLOOKUP($A144,'2022-2023'!$B$4:$B$23,'2022-2023'!AN$4:AN$23)</f>
        <v>0.39</v>
      </c>
      <c r="AN144">
        <f>_xlfn.XLOOKUP($A144,'2022-2023'!$B$4:$B$23,'2022-2023'!AO$4:AO$23)</f>
        <v>1</v>
      </c>
      <c r="AO144">
        <f>_xlfn.XLOOKUP($A144,'2022-2023'!$B$4:$B$23,'2022-2023'!AP$4:AP$23)</f>
        <v>0</v>
      </c>
      <c r="AP144">
        <f>_xlfn.XLOOKUP($A144,'2022-2023'!$B$4:$B$23,'2022-2023'!AQ$4:AQ$23)</f>
        <v>1</v>
      </c>
      <c r="AQ144">
        <f>_xlfn.XLOOKUP($A144,'2022-2023'!$B$4:$B$23,'2022-2023'!AR$4:AR$23)</f>
        <v>0</v>
      </c>
      <c r="AR144">
        <f>_xlfn.XLOOKUP($A144,'2022-2023'!$B$4:$B$23,'2022-2023'!AS$4:AS$23)</f>
        <v>1</v>
      </c>
      <c r="AS144" t="str">
        <f>_xlfn.XLOOKUP($A144,'2022-2023'!$B$4:$B$23,'2022-2023'!AT$4:AT$23)</f>
        <v>22/23</v>
      </c>
    </row>
    <row r="145" spans="1:45" x14ac:dyDescent="0.25">
      <c r="A145">
        <v>4</v>
      </c>
      <c r="B145" t="str">
        <f>_xlfn.XLOOKUP($A145,'2022-2023'!$B$4:$B$23,'2022-2023'!C$4:C$23)</f>
        <v>Newcastle United</v>
      </c>
      <c r="C145">
        <f>_xlfn.XLOOKUP($A145,'2022-2023'!$B$4:$B$23,'2022-2023'!D$4:D$23)</f>
        <v>68</v>
      </c>
      <c r="D145">
        <f>_xlfn.XLOOKUP($A145,'2022-2023'!$B$4:$B$23,'2022-2023'!E$4:E$23)</f>
        <v>33</v>
      </c>
      <c r="E145">
        <f>_xlfn.XLOOKUP($A145,'2022-2023'!$B$4:$B$23,'2022-2023'!F$4:F$23)</f>
        <v>35</v>
      </c>
      <c r="F145">
        <f>_xlfn.XLOOKUP($A145,'2022-2023'!$B$4:$B$23,'2022-2023'!G$4:G$23)</f>
        <v>14</v>
      </c>
      <c r="G145">
        <f>_xlfn.XLOOKUP($A145,'2022-2023'!$B$4:$B$23,'2022-2023'!H$4:H$23)</f>
        <v>61</v>
      </c>
      <c r="H145">
        <f>_xlfn.XLOOKUP($A145,'2022-2023'!$B$4:$B$23,'2022-2023'!I$4:I$23)</f>
        <v>1</v>
      </c>
      <c r="I145">
        <f>_xlfn.XLOOKUP($A145,'2022-2023'!$B$4:$B$23,'2022-2023'!J$4:J$23)</f>
        <v>72</v>
      </c>
      <c r="J145">
        <f>_xlfn.XLOOKUP($A145,'2022-2023'!$B$4:$B$23,'2022-2023'!K$4:K$23)</f>
        <v>39.6</v>
      </c>
      <c r="K145">
        <f>_xlfn.XLOOKUP($A145,'2022-2023'!$B$4:$B$23,'2022-2023'!L$4:L$23)</f>
        <v>-4</v>
      </c>
      <c r="L145">
        <f>_xlfn.XLOOKUP($A145,'2022-2023'!$B$4:$B$23,'2022-2023'!M$4:M$23)</f>
        <v>565</v>
      </c>
      <c r="M145">
        <f>_xlfn.XLOOKUP($A145,'2022-2023'!$B$4:$B$23,'2022-2023'!N$4:N$23)</f>
        <v>184</v>
      </c>
      <c r="N145">
        <f>_xlfn.XLOOKUP($A145,'2022-2023'!$B$4:$B$23,'2022-2023'!O$4:O$23)</f>
        <v>6</v>
      </c>
      <c r="O145">
        <f>_xlfn.XLOOKUP($A145,'2022-2023'!$B$4:$B$23,'2022-2023'!P$4:P$23)</f>
        <v>10</v>
      </c>
      <c r="P145">
        <f>_xlfn.XLOOKUP($A145,'2022-2023'!$B$4:$B$23,'2022-2023'!Q$4:Q$23)</f>
        <v>56</v>
      </c>
      <c r="Q145">
        <f>_xlfn.XLOOKUP($A145,'2022-2023'!$B$4:$B$23,'2022-2023'!R$4:R$23)</f>
        <v>14</v>
      </c>
      <c r="R145">
        <f>_xlfn.XLOOKUP($A145,'2022-2023'!$B$4:$B$23,'2022-2023'!S$4:S$23)</f>
        <v>5</v>
      </c>
      <c r="S145">
        <f>_xlfn.XLOOKUP($A145,'2022-2023'!$B$4:$B$23,'2022-2023'!T$4:T$23)</f>
        <v>71</v>
      </c>
      <c r="T145">
        <f>_xlfn.XLOOKUP($A145,'2022-2023'!$B$4:$B$23,'2022-2023'!U$4:U$23)</f>
        <v>2</v>
      </c>
      <c r="U145">
        <f>_xlfn.XLOOKUP($A145,'2022-2023'!$B$4:$B$23,'2022-2023'!V$4:V$23)</f>
        <v>5</v>
      </c>
      <c r="V145">
        <f>_xlfn.XLOOKUP($A145,'2022-2023'!$B$4:$B$23,'2022-2023'!W$4:W$23)</f>
        <v>94</v>
      </c>
      <c r="W145">
        <f>_xlfn.XLOOKUP($A145,'2022-2023'!$B$4:$B$23,'2022-2023'!X$4:X$23)</f>
        <v>646</v>
      </c>
      <c r="X145">
        <f>_xlfn.XLOOKUP($A145,'2022-2023'!$B$4:$B$23,'2022-2023'!Y$4:Y$23)</f>
        <v>360</v>
      </c>
      <c r="Y145">
        <f>_xlfn.XLOOKUP($A145,'2022-2023'!$B$4:$B$23,'2022-2023'!Z$4:Z$23)</f>
        <v>406</v>
      </c>
      <c r="Z145">
        <f>_xlfn.XLOOKUP($A145,'2022-2023'!$B$4:$B$23,'2022-2023'!AA$4:AA$23)</f>
        <v>16052</v>
      </c>
      <c r="AA145">
        <f>_xlfn.XLOOKUP($A145,'2022-2023'!$B$4:$B$23,'2022-2023'!AB$4:AB$23)</f>
        <v>88</v>
      </c>
      <c r="AB145">
        <f>_xlfn.XLOOKUP($A145,'2022-2023'!$B$4:$B$23,'2022-2023'!AC$4:AC$23)</f>
        <v>2266</v>
      </c>
      <c r="AC145">
        <f>_xlfn.XLOOKUP($A145,'2022-2023'!$B$4:$B$23,'2022-2023'!AD$4:AD$23)</f>
        <v>740</v>
      </c>
      <c r="AD145">
        <f>_xlfn.XLOOKUP($A145,'2022-2023'!$B$4:$B$23,'2022-2023'!AE$4:AE$23)</f>
        <v>270</v>
      </c>
      <c r="AE145">
        <f>_xlfn.XLOOKUP($A145,'2022-2023'!$B$4:$B$23,'2022-2023'!AF$4:AF$23)</f>
        <v>185.35</v>
      </c>
      <c r="AF145">
        <f>_xlfn.XLOOKUP($A145,'2022-2023'!$B$4:$B$23,'2022-2023'!AG$4:AG$23)</f>
        <v>14.06</v>
      </c>
      <c r="AG145">
        <f>_xlfn.XLOOKUP($A145,'2022-2023'!$B$4:$B$23,'2022-2023'!AH$4:AH$23)</f>
        <v>17</v>
      </c>
      <c r="AH145">
        <f>_xlfn.XLOOKUP($A145,'2022-2023'!$B$4:$B$23,'2022-2023'!AI$4:AI$23)</f>
        <v>13</v>
      </c>
      <c r="AI145">
        <f>_xlfn.XLOOKUP($A145,'2022-2023'!$B$4:$B$23,'2022-2023'!AJ$4:AJ$23)</f>
        <v>541.6</v>
      </c>
      <c r="AJ145">
        <f>_xlfn.XLOOKUP($A145,'2022-2023'!$B$4:$B$23,'2022-2023'!AK$4:AK$23)</f>
        <v>38</v>
      </c>
      <c r="AK145">
        <f>_xlfn.XLOOKUP($A145,'2022-2023'!$B$4:$B$23,'2022-2023'!AL$4:AL$23)</f>
        <v>20.816666666666666</v>
      </c>
      <c r="AL145">
        <f>_xlfn.XLOOKUP($A145,'2022-2023'!$B$4:$B$23,'2022-2023'!AM$4:AM$23)</f>
        <v>52127</v>
      </c>
      <c r="AM145">
        <f>_xlfn.XLOOKUP($A145,'2022-2023'!$B$4:$B$23,'2022-2023'!AN$4:AN$23)</f>
        <v>0.11</v>
      </c>
      <c r="AN145">
        <f>_xlfn.XLOOKUP($A145,'2022-2023'!$B$4:$B$23,'2022-2023'!AO$4:AO$23)</f>
        <v>0</v>
      </c>
      <c r="AO145">
        <f>_xlfn.XLOOKUP($A145,'2022-2023'!$B$4:$B$23,'2022-2023'!AP$4:AP$23)</f>
        <v>0</v>
      </c>
      <c r="AP145">
        <f>_xlfn.XLOOKUP($A145,'2022-2023'!$B$4:$B$23,'2022-2023'!AQ$4:AQ$23)</f>
        <v>1</v>
      </c>
      <c r="AQ145">
        <f>_xlfn.XLOOKUP($A145,'2022-2023'!$B$4:$B$23,'2022-2023'!AR$4:AR$23)</f>
        <v>0</v>
      </c>
      <c r="AR145">
        <f>_xlfn.XLOOKUP($A145,'2022-2023'!$B$4:$B$23,'2022-2023'!AS$4:AS$23)</f>
        <v>0</v>
      </c>
      <c r="AS145" t="str">
        <f>_xlfn.XLOOKUP($A145,'2022-2023'!$B$4:$B$23,'2022-2023'!AT$4:AT$23)</f>
        <v>22/23</v>
      </c>
    </row>
    <row r="146" spans="1:45" x14ac:dyDescent="0.25">
      <c r="A146">
        <v>5</v>
      </c>
      <c r="B146" t="str">
        <f>_xlfn.XLOOKUP($A146,'2022-2023'!$B$4:$B$23,'2022-2023'!C$4:C$23)</f>
        <v>Liverpool</v>
      </c>
      <c r="C146">
        <f>_xlfn.XLOOKUP($A146,'2022-2023'!$B$4:$B$23,'2022-2023'!D$4:D$23)</f>
        <v>75</v>
      </c>
      <c r="D146">
        <f>_xlfn.XLOOKUP($A146,'2022-2023'!$B$4:$B$23,'2022-2023'!E$4:E$23)</f>
        <v>47</v>
      </c>
      <c r="E146">
        <f>_xlfn.XLOOKUP($A146,'2022-2023'!$B$4:$B$23,'2022-2023'!F$4:F$23)</f>
        <v>28</v>
      </c>
      <c r="F146">
        <f>_xlfn.XLOOKUP($A146,'2022-2023'!$B$4:$B$23,'2022-2023'!G$4:G$23)</f>
        <v>14</v>
      </c>
      <c r="G146">
        <f>_xlfn.XLOOKUP($A146,'2022-2023'!$B$4:$B$23,'2022-2023'!H$4:H$23)</f>
        <v>57</v>
      </c>
      <c r="H146">
        <f>_xlfn.XLOOKUP($A146,'2022-2023'!$B$4:$B$23,'2022-2023'!I$4:I$23)</f>
        <v>1</v>
      </c>
      <c r="I146">
        <f>_xlfn.XLOOKUP($A146,'2022-2023'!$B$4:$B$23,'2022-2023'!J$4:J$23)</f>
        <v>72.599999999999994</v>
      </c>
      <c r="J146">
        <f>_xlfn.XLOOKUP($A146,'2022-2023'!$B$4:$B$23,'2022-2023'!K$4:K$23)</f>
        <v>50.9</v>
      </c>
      <c r="K146">
        <f>_xlfn.XLOOKUP($A146,'2022-2023'!$B$4:$B$23,'2022-2023'!L$4:L$23)</f>
        <v>2.4000000000000057</v>
      </c>
      <c r="L146">
        <f>_xlfn.XLOOKUP($A146,'2022-2023'!$B$4:$B$23,'2022-2023'!M$4:M$23)</f>
        <v>601</v>
      </c>
      <c r="M146">
        <f>_xlfn.XLOOKUP($A146,'2022-2023'!$B$4:$B$23,'2022-2023'!N$4:N$23)</f>
        <v>203</v>
      </c>
      <c r="N146">
        <f>_xlfn.XLOOKUP($A146,'2022-2023'!$B$4:$B$23,'2022-2023'!O$4:O$23)</f>
        <v>2</v>
      </c>
      <c r="O146">
        <f>_xlfn.XLOOKUP($A146,'2022-2023'!$B$4:$B$23,'2022-2023'!P$4:P$23)</f>
        <v>13</v>
      </c>
      <c r="P146">
        <f>_xlfn.XLOOKUP($A146,'2022-2023'!$B$4:$B$23,'2022-2023'!Q$4:Q$23)</f>
        <v>67</v>
      </c>
      <c r="Q146">
        <f>_xlfn.XLOOKUP($A146,'2022-2023'!$B$4:$B$23,'2022-2023'!R$4:R$23)</f>
        <v>8</v>
      </c>
      <c r="R146">
        <f>_xlfn.XLOOKUP($A146,'2022-2023'!$B$4:$B$23,'2022-2023'!S$4:S$23)</f>
        <v>7</v>
      </c>
      <c r="S146">
        <f>_xlfn.XLOOKUP($A146,'2022-2023'!$B$4:$B$23,'2022-2023'!T$4:T$23)</f>
        <v>84</v>
      </c>
      <c r="T146">
        <f>_xlfn.XLOOKUP($A146,'2022-2023'!$B$4:$B$23,'2022-2023'!U$4:U$23)</f>
        <v>2</v>
      </c>
      <c r="U146">
        <f>_xlfn.XLOOKUP($A146,'2022-2023'!$B$4:$B$23,'2022-2023'!V$4:V$23)</f>
        <v>4</v>
      </c>
      <c r="V146">
        <f>_xlfn.XLOOKUP($A146,'2022-2023'!$B$4:$B$23,'2022-2023'!W$4:W$23)</f>
        <v>111</v>
      </c>
      <c r="W146">
        <f>_xlfn.XLOOKUP($A146,'2022-2023'!$B$4:$B$23,'2022-2023'!X$4:X$23)</f>
        <v>540</v>
      </c>
      <c r="X146">
        <f>_xlfn.XLOOKUP($A146,'2022-2023'!$B$4:$B$23,'2022-2023'!Y$4:Y$23)</f>
        <v>370</v>
      </c>
      <c r="Y146">
        <f>_xlfn.XLOOKUP($A146,'2022-2023'!$B$4:$B$23,'2022-2023'!Z$4:Z$23)</f>
        <v>405</v>
      </c>
      <c r="Z146">
        <f>_xlfn.XLOOKUP($A146,'2022-2023'!$B$4:$B$23,'2022-2023'!AA$4:AA$23)</f>
        <v>22401</v>
      </c>
      <c r="AA146">
        <f>_xlfn.XLOOKUP($A146,'2022-2023'!$B$4:$B$23,'2022-2023'!AB$4:AB$23)</f>
        <v>103</v>
      </c>
      <c r="AB146">
        <f>_xlfn.XLOOKUP($A146,'2022-2023'!$B$4:$B$23,'2022-2023'!AC$4:AC$23)</f>
        <v>3416</v>
      </c>
      <c r="AC146">
        <f>_xlfn.XLOOKUP($A146,'2022-2023'!$B$4:$B$23,'2022-2023'!AD$4:AD$23)</f>
        <v>799</v>
      </c>
      <c r="AD146">
        <f>_xlfn.XLOOKUP($A146,'2022-2023'!$B$4:$B$23,'2022-2023'!AE$4:AE$23)</f>
        <v>235</v>
      </c>
      <c r="AE146">
        <f>_xlfn.XLOOKUP($A146,'2022-2023'!$B$4:$B$23,'2022-2023'!AF$4:AF$23)</f>
        <v>137.30000000000001</v>
      </c>
      <c r="AF146">
        <f>_xlfn.XLOOKUP($A146,'2022-2023'!$B$4:$B$23,'2022-2023'!AG$4:AG$23)</f>
        <v>80.7</v>
      </c>
      <c r="AG146">
        <f>_xlfn.XLOOKUP($A146,'2022-2023'!$B$4:$B$23,'2022-2023'!AH$4:AH$23)</f>
        <v>8</v>
      </c>
      <c r="AH146">
        <f>_xlfn.XLOOKUP($A146,'2022-2023'!$B$4:$B$23,'2022-2023'!AI$4:AI$23)</f>
        <v>11</v>
      </c>
      <c r="AI146">
        <f>_xlfn.XLOOKUP($A146,'2022-2023'!$B$4:$B$23,'2022-2023'!AJ$4:AJ$23)</f>
        <v>811.85</v>
      </c>
      <c r="AJ146">
        <f>_xlfn.XLOOKUP($A146,'2022-2023'!$B$4:$B$23,'2022-2023'!AK$4:AK$23)</f>
        <v>39</v>
      </c>
      <c r="AK146">
        <f>_xlfn.XLOOKUP($A146,'2022-2023'!$B$4:$B$23,'2022-2023'!AL$4:AL$23)</f>
        <v>19.091176470588238</v>
      </c>
      <c r="AL146">
        <f>_xlfn.XLOOKUP($A146,'2022-2023'!$B$4:$B$23,'2022-2023'!AM$4:AM$23)</f>
        <v>53163</v>
      </c>
      <c r="AM146">
        <f>_xlfn.XLOOKUP($A146,'2022-2023'!$B$4:$B$23,'2022-2023'!AN$4:AN$23)</f>
        <v>0.26</v>
      </c>
      <c r="AN146">
        <f>_xlfn.XLOOKUP($A146,'2022-2023'!$B$4:$B$23,'2022-2023'!AO$4:AO$23)</f>
        <v>1</v>
      </c>
      <c r="AO146">
        <f>_xlfn.XLOOKUP($A146,'2022-2023'!$B$4:$B$23,'2022-2023'!AP$4:AP$23)</f>
        <v>0</v>
      </c>
      <c r="AP146">
        <f>_xlfn.XLOOKUP($A146,'2022-2023'!$B$4:$B$23,'2022-2023'!AQ$4:AQ$23)</f>
        <v>0</v>
      </c>
      <c r="AQ146">
        <f>_xlfn.XLOOKUP($A146,'2022-2023'!$B$4:$B$23,'2022-2023'!AR$4:AR$23)</f>
        <v>0</v>
      </c>
      <c r="AR146">
        <f>_xlfn.XLOOKUP($A146,'2022-2023'!$B$4:$B$23,'2022-2023'!AS$4:AS$23)</f>
        <v>1</v>
      </c>
      <c r="AS146" t="str">
        <f>_xlfn.XLOOKUP($A146,'2022-2023'!$B$4:$B$23,'2022-2023'!AT$4:AT$23)</f>
        <v>22/23</v>
      </c>
    </row>
    <row r="147" spans="1:45" x14ac:dyDescent="0.25">
      <c r="A147">
        <v>6</v>
      </c>
      <c r="B147" t="str">
        <f>_xlfn.XLOOKUP($A147,'2022-2023'!$B$4:$B$23,'2022-2023'!C$4:C$23)</f>
        <v>Brighton and Hove Albion</v>
      </c>
      <c r="C147">
        <f>_xlfn.XLOOKUP($A147,'2022-2023'!$B$4:$B$23,'2022-2023'!D$4:D$23)</f>
        <v>72</v>
      </c>
      <c r="D147">
        <f>_xlfn.XLOOKUP($A147,'2022-2023'!$B$4:$B$23,'2022-2023'!E$4:E$23)</f>
        <v>53</v>
      </c>
      <c r="E147">
        <f>_xlfn.XLOOKUP($A147,'2022-2023'!$B$4:$B$23,'2022-2023'!F$4:F$23)</f>
        <v>19</v>
      </c>
      <c r="F147">
        <f>_xlfn.XLOOKUP($A147,'2022-2023'!$B$4:$B$23,'2022-2023'!G$4:G$23)</f>
        <v>12</v>
      </c>
      <c r="G147">
        <f>_xlfn.XLOOKUP($A147,'2022-2023'!$B$4:$B$23,'2022-2023'!H$4:H$23)</f>
        <v>58</v>
      </c>
      <c r="H147">
        <f>_xlfn.XLOOKUP($A147,'2022-2023'!$B$4:$B$23,'2022-2023'!I$4:I$23)</f>
        <v>0</v>
      </c>
      <c r="I147">
        <f>_xlfn.XLOOKUP($A147,'2022-2023'!$B$4:$B$23,'2022-2023'!J$4:J$23)</f>
        <v>73.3</v>
      </c>
      <c r="J147">
        <f>_xlfn.XLOOKUP($A147,'2022-2023'!$B$4:$B$23,'2022-2023'!K$4:K$23)</f>
        <v>50.2</v>
      </c>
      <c r="K147">
        <f>_xlfn.XLOOKUP($A147,'2022-2023'!$B$4:$B$23,'2022-2023'!L$4:L$23)</f>
        <v>-1.2999999999999972</v>
      </c>
      <c r="L147">
        <f>_xlfn.XLOOKUP($A147,'2022-2023'!$B$4:$B$23,'2022-2023'!M$4:M$23)</f>
        <v>607</v>
      </c>
      <c r="M147">
        <f>_xlfn.XLOOKUP($A147,'2022-2023'!$B$4:$B$23,'2022-2023'!N$4:N$23)</f>
        <v>219</v>
      </c>
      <c r="N147">
        <f>_xlfn.XLOOKUP($A147,'2022-2023'!$B$4:$B$23,'2022-2023'!O$4:O$23)</f>
        <v>6</v>
      </c>
      <c r="O147">
        <f>_xlfn.XLOOKUP($A147,'2022-2023'!$B$4:$B$23,'2022-2023'!P$4:P$23)</f>
        <v>10</v>
      </c>
      <c r="P147">
        <f>_xlfn.XLOOKUP($A147,'2022-2023'!$B$4:$B$23,'2022-2023'!Q$4:Q$23)</f>
        <v>63</v>
      </c>
      <c r="Q147">
        <f>_xlfn.XLOOKUP($A147,'2022-2023'!$B$4:$B$23,'2022-2023'!R$4:R$23)</f>
        <v>9</v>
      </c>
      <c r="R147">
        <f>_xlfn.XLOOKUP($A147,'2022-2023'!$B$4:$B$23,'2022-2023'!S$4:S$23)</f>
        <v>3</v>
      </c>
      <c r="S147">
        <f>_xlfn.XLOOKUP($A147,'2022-2023'!$B$4:$B$23,'2022-2023'!T$4:T$23)</f>
        <v>70</v>
      </c>
      <c r="T147">
        <f>_xlfn.XLOOKUP($A147,'2022-2023'!$B$4:$B$23,'2022-2023'!U$4:U$23)</f>
        <v>6</v>
      </c>
      <c r="U147">
        <f>_xlfn.XLOOKUP($A147,'2022-2023'!$B$4:$B$23,'2022-2023'!V$4:V$23)</f>
        <v>8</v>
      </c>
      <c r="V147">
        <f>_xlfn.XLOOKUP($A147,'2022-2023'!$B$4:$B$23,'2022-2023'!W$4:W$23)</f>
        <v>82</v>
      </c>
      <c r="W147">
        <f>_xlfn.XLOOKUP($A147,'2022-2023'!$B$4:$B$23,'2022-2023'!X$4:X$23)</f>
        <v>412</v>
      </c>
      <c r="X147">
        <f>_xlfn.XLOOKUP($A147,'2022-2023'!$B$4:$B$23,'2022-2023'!Y$4:Y$23)</f>
        <v>340</v>
      </c>
      <c r="Y147">
        <f>_xlfn.XLOOKUP($A147,'2022-2023'!$B$4:$B$23,'2022-2023'!Z$4:Z$23)</f>
        <v>427</v>
      </c>
      <c r="Z147">
        <f>_xlfn.XLOOKUP($A147,'2022-2023'!$B$4:$B$23,'2022-2023'!AA$4:AA$23)</f>
        <v>21280</v>
      </c>
      <c r="AA147">
        <f>_xlfn.XLOOKUP($A147,'2022-2023'!$B$4:$B$23,'2022-2023'!AB$4:AB$23)</f>
        <v>81</v>
      </c>
      <c r="AB147">
        <f>_xlfn.XLOOKUP($A147,'2022-2023'!$B$4:$B$23,'2022-2023'!AC$4:AC$23)</f>
        <v>3374</v>
      </c>
      <c r="AC147">
        <f>_xlfn.XLOOKUP($A147,'2022-2023'!$B$4:$B$23,'2022-2023'!AD$4:AD$23)</f>
        <v>694</v>
      </c>
      <c r="AD147">
        <f>_xlfn.XLOOKUP($A147,'2022-2023'!$B$4:$B$23,'2022-2023'!AE$4:AE$23)</f>
        <v>233</v>
      </c>
      <c r="AE147">
        <f>_xlfn.XLOOKUP($A147,'2022-2023'!$B$4:$B$23,'2022-2023'!AF$4:AF$23)</f>
        <v>55.7</v>
      </c>
      <c r="AF147">
        <f>_xlfn.XLOOKUP($A147,'2022-2023'!$B$4:$B$23,'2022-2023'!AG$4:AG$23)</f>
        <v>137.9</v>
      </c>
      <c r="AG147">
        <f>_xlfn.XLOOKUP($A147,'2022-2023'!$B$4:$B$23,'2022-2023'!AH$4:AH$23)</f>
        <v>21</v>
      </c>
      <c r="AH147">
        <f>_xlfn.XLOOKUP($A147,'2022-2023'!$B$4:$B$23,'2022-2023'!AI$4:AI$23)</f>
        <v>23</v>
      </c>
      <c r="AI147">
        <f>_xlfn.XLOOKUP($A147,'2022-2023'!$B$4:$B$23,'2022-2023'!AJ$4:AJ$23)</f>
        <v>529.83000000000004</v>
      </c>
      <c r="AJ147">
        <f>_xlfn.XLOOKUP($A147,'2022-2023'!$B$4:$B$23,'2022-2023'!AK$4:AK$23)</f>
        <v>42</v>
      </c>
      <c r="AK147">
        <f>_xlfn.XLOOKUP($A147,'2022-2023'!$B$4:$B$23,'2022-2023'!AL$4:AL$23)</f>
        <v>14.252631578947369</v>
      </c>
      <c r="AL147">
        <f>_xlfn.XLOOKUP($A147,'2022-2023'!$B$4:$B$23,'2022-2023'!AM$4:AM$23)</f>
        <v>31477</v>
      </c>
      <c r="AM147">
        <f>_xlfn.XLOOKUP($A147,'2022-2023'!$B$4:$B$23,'2022-2023'!AN$4:AN$23)</f>
        <v>0.12</v>
      </c>
      <c r="AN147">
        <f>_xlfn.XLOOKUP($A147,'2022-2023'!$B$4:$B$23,'2022-2023'!AO$4:AO$23)</f>
        <v>0</v>
      </c>
      <c r="AO147">
        <f>_xlfn.XLOOKUP($A147,'2022-2023'!$B$4:$B$23,'2022-2023'!AP$4:AP$23)</f>
        <v>0</v>
      </c>
      <c r="AP147">
        <f>_xlfn.XLOOKUP($A147,'2022-2023'!$B$4:$B$23,'2022-2023'!AQ$4:AQ$23)</f>
        <v>0</v>
      </c>
      <c r="AQ147">
        <f>_xlfn.XLOOKUP($A147,'2022-2023'!$B$4:$B$23,'2022-2023'!AR$4:AR$23)</f>
        <v>0</v>
      </c>
      <c r="AR147">
        <f>_xlfn.XLOOKUP($A147,'2022-2023'!$B$4:$B$23,'2022-2023'!AS$4:AS$23)</f>
        <v>0</v>
      </c>
      <c r="AS147" t="str">
        <f>_xlfn.XLOOKUP($A147,'2022-2023'!$B$4:$B$23,'2022-2023'!AT$4:AT$23)</f>
        <v>22/23</v>
      </c>
    </row>
    <row r="148" spans="1:45" x14ac:dyDescent="0.25">
      <c r="A148">
        <v>7</v>
      </c>
      <c r="B148" t="str">
        <f>_xlfn.XLOOKUP($A148,'2022-2023'!$B$4:$B$23,'2022-2023'!C$4:C$23)</f>
        <v>Aston Villa</v>
      </c>
      <c r="C148">
        <f>_xlfn.XLOOKUP($A148,'2022-2023'!$B$4:$B$23,'2022-2023'!D$4:D$23)</f>
        <v>51</v>
      </c>
      <c r="D148">
        <f>_xlfn.XLOOKUP($A148,'2022-2023'!$B$4:$B$23,'2022-2023'!E$4:E$23)</f>
        <v>46</v>
      </c>
      <c r="E148">
        <f>_xlfn.XLOOKUP($A148,'2022-2023'!$B$4:$B$23,'2022-2023'!F$4:F$23)</f>
        <v>5</v>
      </c>
      <c r="F148">
        <f>_xlfn.XLOOKUP($A148,'2022-2023'!$B$4:$B$23,'2022-2023'!G$4:G$23)</f>
        <v>12</v>
      </c>
      <c r="G148">
        <f>_xlfn.XLOOKUP($A148,'2022-2023'!$B$4:$B$23,'2022-2023'!H$4:H$23)</f>
        <v>80</v>
      </c>
      <c r="H148">
        <f>_xlfn.XLOOKUP($A148,'2022-2023'!$B$4:$B$23,'2022-2023'!I$4:I$23)</f>
        <v>1</v>
      </c>
      <c r="I148">
        <f>_xlfn.XLOOKUP($A148,'2022-2023'!$B$4:$B$23,'2022-2023'!J$4:J$23)</f>
        <v>50.2</v>
      </c>
      <c r="J148">
        <f>_xlfn.XLOOKUP($A148,'2022-2023'!$B$4:$B$23,'2022-2023'!K$4:K$23)</f>
        <v>52.5</v>
      </c>
      <c r="K148">
        <f>_xlfn.XLOOKUP($A148,'2022-2023'!$B$4:$B$23,'2022-2023'!L$4:L$23)</f>
        <v>0.79999999999999716</v>
      </c>
      <c r="L148">
        <f>_xlfn.XLOOKUP($A148,'2022-2023'!$B$4:$B$23,'2022-2023'!M$4:M$23)</f>
        <v>427</v>
      </c>
      <c r="M148">
        <f>_xlfn.XLOOKUP($A148,'2022-2023'!$B$4:$B$23,'2022-2023'!N$4:N$23)</f>
        <v>145</v>
      </c>
      <c r="N148">
        <f>_xlfn.XLOOKUP($A148,'2022-2023'!$B$4:$B$23,'2022-2023'!O$4:O$23)</f>
        <v>3</v>
      </c>
      <c r="O148">
        <f>_xlfn.XLOOKUP($A148,'2022-2023'!$B$4:$B$23,'2022-2023'!P$4:P$23)</f>
        <v>6</v>
      </c>
      <c r="P148">
        <f>_xlfn.XLOOKUP($A148,'2022-2023'!$B$4:$B$23,'2022-2023'!Q$4:Q$23)</f>
        <v>44</v>
      </c>
      <c r="Q148">
        <f>_xlfn.XLOOKUP($A148,'2022-2023'!$B$4:$B$23,'2022-2023'!R$4:R$23)</f>
        <v>7</v>
      </c>
      <c r="R148">
        <f>_xlfn.XLOOKUP($A148,'2022-2023'!$B$4:$B$23,'2022-2023'!S$4:S$23)</f>
        <v>5</v>
      </c>
      <c r="S148">
        <f>_xlfn.XLOOKUP($A148,'2022-2023'!$B$4:$B$23,'2022-2023'!T$4:T$23)</f>
        <v>58</v>
      </c>
      <c r="T148">
        <f>_xlfn.XLOOKUP($A148,'2022-2023'!$B$4:$B$23,'2022-2023'!U$4:U$23)</f>
        <v>4</v>
      </c>
      <c r="U148">
        <f>_xlfn.XLOOKUP($A148,'2022-2023'!$B$4:$B$23,'2022-2023'!V$4:V$23)</f>
        <v>6</v>
      </c>
      <c r="V148">
        <f>_xlfn.XLOOKUP($A148,'2022-2023'!$B$4:$B$23,'2022-2023'!W$4:W$23)</f>
        <v>108</v>
      </c>
      <c r="W148">
        <f>_xlfn.XLOOKUP($A148,'2022-2023'!$B$4:$B$23,'2022-2023'!X$4:X$23)</f>
        <v>663</v>
      </c>
      <c r="X148">
        <f>_xlfn.XLOOKUP($A148,'2022-2023'!$B$4:$B$23,'2022-2023'!Y$4:Y$23)</f>
        <v>338</v>
      </c>
      <c r="Y148">
        <f>_xlfn.XLOOKUP($A148,'2022-2023'!$B$4:$B$23,'2022-2023'!Z$4:Z$23)</f>
        <v>417</v>
      </c>
      <c r="Z148">
        <f>_xlfn.XLOOKUP($A148,'2022-2023'!$B$4:$B$23,'2022-2023'!AA$4:AA$23)</f>
        <v>15940</v>
      </c>
      <c r="AA148">
        <f>_xlfn.XLOOKUP($A148,'2022-2023'!$B$4:$B$23,'2022-2023'!AB$4:AB$23)</f>
        <v>54</v>
      </c>
      <c r="AB148">
        <f>_xlfn.XLOOKUP($A148,'2022-2023'!$B$4:$B$23,'2022-2023'!AC$4:AC$23)</f>
        <v>2576</v>
      </c>
      <c r="AC148">
        <f>_xlfn.XLOOKUP($A148,'2022-2023'!$B$4:$B$23,'2022-2023'!AD$4:AD$23)</f>
        <v>561</v>
      </c>
      <c r="AD148">
        <f>_xlfn.XLOOKUP($A148,'2022-2023'!$B$4:$B$23,'2022-2023'!AE$4:AE$23)</f>
        <v>163</v>
      </c>
      <c r="AE148">
        <f>_xlfn.XLOOKUP($A148,'2022-2023'!$B$4:$B$23,'2022-2023'!AF$4:AF$23)</f>
        <v>100.14</v>
      </c>
      <c r="AF148">
        <f>_xlfn.XLOOKUP($A148,'2022-2023'!$B$4:$B$23,'2022-2023'!AG$4:AG$23)</f>
        <v>54</v>
      </c>
      <c r="AG148">
        <f>_xlfn.XLOOKUP($A148,'2022-2023'!$B$4:$B$23,'2022-2023'!AH$4:AH$23)</f>
        <v>23</v>
      </c>
      <c r="AH148">
        <f>_xlfn.XLOOKUP($A148,'2022-2023'!$B$4:$B$23,'2022-2023'!AI$4:AI$23)</f>
        <v>22</v>
      </c>
      <c r="AI148">
        <f>_xlfn.XLOOKUP($A148,'2022-2023'!$B$4:$B$23,'2022-2023'!AJ$4:AJ$23)</f>
        <v>509.55</v>
      </c>
      <c r="AJ148">
        <f>_xlfn.XLOOKUP($A148,'2022-2023'!$B$4:$B$23,'2022-2023'!AK$4:AK$23)</f>
        <v>43</v>
      </c>
      <c r="AK148">
        <f>_xlfn.XLOOKUP($A148,'2022-2023'!$B$4:$B$23,'2022-2023'!AL$4:AL$23)</f>
        <v>11.85</v>
      </c>
      <c r="AL148">
        <f>_xlfn.XLOOKUP($A148,'2022-2023'!$B$4:$B$23,'2022-2023'!AM$4:AM$23)</f>
        <v>39485</v>
      </c>
      <c r="AM148">
        <f>_xlfn.XLOOKUP($A148,'2022-2023'!$B$4:$B$23,'2022-2023'!AN$4:AN$23)</f>
        <v>0.19</v>
      </c>
      <c r="AN148">
        <f>_xlfn.XLOOKUP($A148,'2022-2023'!$B$4:$B$23,'2022-2023'!AO$4:AO$23)</f>
        <v>0</v>
      </c>
      <c r="AO148">
        <f>_xlfn.XLOOKUP($A148,'2022-2023'!$B$4:$B$23,'2022-2023'!AP$4:AP$23)</f>
        <v>0</v>
      </c>
      <c r="AP148">
        <f>_xlfn.XLOOKUP($A148,'2022-2023'!$B$4:$B$23,'2022-2023'!AQ$4:AQ$23)</f>
        <v>0</v>
      </c>
      <c r="AQ148">
        <f>_xlfn.XLOOKUP($A148,'2022-2023'!$B$4:$B$23,'2022-2023'!AR$4:AR$23)</f>
        <v>0</v>
      </c>
      <c r="AR148">
        <f>_xlfn.XLOOKUP($A148,'2022-2023'!$B$4:$B$23,'2022-2023'!AS$4:AS$23)</f>
        <v>0</v>
      </c>
      <c r="AS148" t="str">
        <f>_xlfn.XLOOKUP($A148,'2022-2023'!$B$4:$B$23,'2022-2023'!AT$4:AT$23)</f>
        <v>22/23</v>
      </c>
    </row>
    <row r="149" spans="1:45" x14ac:dyDescent="0.25">
      <c r="A149">
        <v>8</v>
      </c>
      <c r="B149" t="str">
        <f>_xlfn.XLOOKUP($A149,'2022-2023'!$B$4:$B$23,'2022-2023'!C$4:C$23)</f>
        <v>Tottenham Hotspur</v>
      </c>
      <c r="C149">
        <f>_xlfn.XLOOKUP($A149,'2022-2023'!$B$4:$B$23,'2022-2023'!D$4:D$23)</f>
        <v>70</v>
      </c>
      <c r="D149">
        <f>_xlfn.XLOOKUP($A149,'2022-2023'!$B$4:$B$23,'2022-2023'!E$4:E$23)</f>
        <v>63</v>
      </c>
      <c r="E149">
        <f>_xlfn.XLOOKUP($A149,'2022-2023'!$B$4:$B$23,'2022-2023'!F$4:F$23)</f>
        <v>7</v>
      </c>
      <c r="F149">
        <f>_xlfn.XLOOKUP($A149,'2022-2023'!$B$4:$B$23,'2022-2023'!G$4:G$23)</f>
        <v>10</v>
      </c>
      <c r="G149">
        <f>_xlfn.XLOOKUP($A149,'2022-2023'!$B$4:$B$23,'2022-2023'!H$4:H$23)</f>
        <v>77</v>
      </c>
      <c r="H149">
        <f>_xlfn.XLOOKUP($A149,'2022-2023'!$B$4:$B$23,'2022-2023'!I$4:I$23)</f>
        <v>3</v>
      </c>
      <c r="I149">
        <f>_xlfn.XLOOKUP($A149,'2022-2023'!$B$4:$B$23,'2022-2023'!J$4:J$23)</f>
        <v>57.1</v>
      </c>
      <c r="J149">
        <f>_xlfn.XLOOKUP($A149,'2022-2023'!$B$4:$B$23,'2022-2023'!K$4:K$23)</f>
        <v>49.7</v>
      </c>
      <c r="K149">
        <f>_xlfn.XLOOKUP($A149,'2022-2023'!$B$4:$B$23,'2022-2023'!L$4:L$23)</f>
        <v>12.899999999999999</v>
      </c>
      <c r="L149">
        <f>_xlfn.XLOOKUP($A149,'2022-2023'!$B$4:$B$23,'2022-2023'!M$4:M$23)</f>
        <v>512</v>
      </c>
      <c r="M149">
        <f>_xlfn.XLOOKUP($A149,'2022-2023'!$B$4:$B$23,'2022-2023'!N$4:N$23)</f>
        <v>186</v>
      </c>
      <c r="N149">
        <f>_xlfn.XLOOKUP($A149,'2022-2023'!$B$4:$B$23,'2022-2023'!O$4:O$23)</f>
        <v>5</v>
      </c>
      <c r="O149">
        <f>_xlfn.XLOOKUP($A149,'2022-2023'!$B$4:$B$23,'2022-2023'!P$4:P$23)</f>
        <v>15</v>
      </c>
      <c r="P149">
        <f>_xlfn.XLOOKUP($A149,'2022-2023'!$B$4:$B$23,'2022-2023'!Q$4:Q$23)</f>
        <v>60</v>
      </c>
      <c r="Q149">
        <f>_xlfn.XLOOKUP($A149,'2022-2023'!$B$4:$B$23,'2022-2023'!R$4:R$23)</f>
        <v>10</v>
      </c>
      <c r="R149">
        <f>_xlfn.XLOOKUP($A149,'2022-2023'!$B$4:$B$23,'2022-2023'!S$4:S$23)</f>
        <v>4</v>
      </c>
      <c r="S149">
        <f>_xlfn.XLOOKUP($A149,'2022-2023'!$B$4:$B$23,'2022-2023'!T$4:T$23)</f>
        <v>67</v>
      </c>
      <c r="T149">
        <f>_xlfn.XLOOKUP($A149,'2022-2023'!$B$4:$B$23,'2022-2023'!U$4:U$23)</f>
        <v>1</v>
      </c>
      <c r="U149">
        <f>_xlfn.XLOOKUP($A149,'2022-2023'!$B$4:$B$23,'2022-2023'!V$4:V$23)</f>
        <v>4</v>
      </c>
      <c r="V149">
        <f>_xlfn.XLOOKUP($A149,'2022-2023'!$B$4:$B$23,'2022-2023'!W$4:W$23)</f>
        <v>109</v>
      </c>
      <c r="W149">
        <f>_xlfn.XLOOKUP($A149,'2022-2023'!$B$4:$B$23,'2022-2023'!X$4:X$23)</f>
        <v>725</v>
      </c>
      <c r="X149">
        <f>_xlfn.XLOOKUP($A149,'2022-2023'!$B$4:$B$23,'2022-2023'!Y$4:Y$23)</f>
        <v>353</v>
      </c>
      <c r="Y149">
        <f>_xlfn.XLOOKUP($A149,'2022-2023'!$B$4:$B$23,'2022-2023'!Z$4:Z$23)</f>
        <v>424</v>
      </c>
      <c r="Z149">
        <f>_xlfn.XLOOKUP($A149,'2022-2023'!$B$4:$B$23,'2022-2023'!AA$4:AA$23)</f>
        <v>18042</v>
      </c>
      <c r="AA149">
        <f>_xlfn.XLOOKUP($A149,'2022-2023'!$B$4:$B$23,'2022-2023'!AB$4:AB$23)</f>
        <v>74</v>
      </c>
      <c r="AB149">
        <f>_xlfn.XLOOKUP($A149,'2022-2023'!$B$4:$B$23,'2022-2023'!AC$4:AC$23)</f>
        <v>2662</v>
      </c>
      <c r="AC149">
        <f>_xlfn.XLOOKUP($A149,'2022-2023'!$B$4:$B$23,'2022-2023'!AD$4:AD$23)</f>
        <v>719</v>
      </c>
      <c r="AD149">
        <f>_xlfn.XLOOKUP($A149,'2022-2023'!$B$4:$B$23,'2022-2023'!AE$4:AE$23)</f>
        <v>203</v>
      </c>
      <c r="AE149">
        <f>_xlfn.XLOOKUP($A149,'2022-2023'!$B$4:$B$23,'2022-2023'!AF$4:AF$23)</f>
        <v>177.9</v>
      </c>
      <c r="AF149">
        <f>_xlfn.XLOOKUP($A149,'2022-2023'!$B$4:$B$23,'2022-2023'!AG$4:AG$23)</f>
        <v>38.75</v>
      </c>
      <c r="AG149">
        <f>_xlfn.XLOOKUP($A149,'2022-2023'!$B$4:$B$23,'2022-2023'!AH$4:AH$23)</f>
        <v>15</v>
      </c>
      <c r="AH149">
        <f>_xlfn.XLOOKUP($A149,'2022-2023'!$B$4:$B$23,'2022-2023'!AI$4:AI$23)</f>
        <v>14</v>
      </c>
      <c r="AI149">
        <f>_xlfn.XLOOKUP($A149,'2022-2023'!$B$4:$B$23,'2022-2023'!AJ$4:AJ$23)</f>
        <v>649.1</v>
      </c>
      <c r="AJ149">
        <f>_xlfn.XLOOKUP($A149,'2022-2023'!$B$4:$B$23,'2022-2023'!AK$4:AK$23)</f>
        <v>34</v>
      </c>
      <c r="AK149">
        <f>_xlfn.XLOOKUP($A149,'2022-2023'!$B$4:$B$23,'2022-2023'!AL$4:AL$23)</f>
        <v>19.091176470588238</v>
      </c>
      <c r="AL149">
        <f>_xlfn.XLOOKUP($A149,'2022-2023'!$B$4:$B$23,'2022-2023'!AM$4:AM$23)</f>
        <v>61585</v>
      </c>
      <c r="AM149">
        <f>_xlfn.XLOOKUP($A149,'2022-2023'!$B$4:$B$23,'2022-2023'!AN$4:AN$23)</f>
        <v>0.13</v>
      </c>
      <c r="AN149">
        <f>_xlfn.XLOOKUP($A149,'2022-2023'!$B$4:$B$23,'2022-2023'!AO$4:AO$23)</f>
        <v>1</v>
      </c>
      <c r="AO149">
        <f>_xlfn.XLOOKUP($A149,'2022-2023'!$B$4:$B$23,'2022-2023'!AP$4:AP$23)</f>
        <v>0</v>
      </c>
      <c r="AP149">
        <f>_xlfn.XLOOKUP($A149,'2022-2023'!$B$4:$B$23,'2022-2023'!AQ$4:AQ$23)</f>
        <v>0</v>
      </c>
      <c r="AQ149">
        <f>_xlfn.XLOOKUP($A149,'2022-2023'!$B$4:$B$23,'2022-2023'!AR$4:AR$23)</f>
        <v>0</v>
      </c>
      <c r="AR149">
        <f>_xlfn.XLOOKUP($A149,'2022-2023'!$B$4:$B$23,'2022-2023'!AS$4:AS$23)</f>
        <v>1</v>
      </c>
      <c r="AS149" t="str">
        <f>_xlfn.XLOOKUP($A149,'2022-2023'!$B$4:$B$23,'2022-2023'!AT$4:AT$23)</f>
        <v>22/23</v>
      </c>
    </row>
    <row r="150" spans="1:45" x14ac:dyDescent="0.25">
      <c r="A150">
        <v>9</v>
      </c>
      <c r="B150" t="str">
        <f>_xlfn.XLOOKUP($A150,'2022-2023'!$B$4:$B$23,'2022-2023'!C$4:C$23)</f>
        <v>Brentford</v>
      </c>
      <c r="C150">
        <f>_xlfn.XLOOKUP($A150,'2022-2023'!$B$4:$B$23,'2022-2023'!D$4:D$23)</f>
        <v>58</v>
      </c>
      <c r="D150">
        <f>_xlfn.XLOOKUP($A150,'2022-2023'!$B$4:$B$23,'2022-2023'!E$4:E$23)</f>
        <v>46</v>
      </c>
      <c r="E150">
        <f>_xlfn.XLOOKUP($A150,'2022-2023'!$B$4:$B$23,'2022-2023'!F$4:F$23)</f>
        <v>12</v>
      </c>
      <c r="F150">
        <f>_xlfn.XLOOKUP($A150,'2022-2023'!$B$4:$B$23,'2022-2023'!G$4:G$23)</f>
        <v>12</v>
      </c>
      <c r="G150">
        <f>_xlfn.XLOOKUP($A150,'2022-2023'!$B$4:$B$23,'2022-2023'!H$4:H$23)</f>
        <v>57</v>
      </c>
      <c r="H150">
        <f>_xlfn.XLOOKUP($A150,'2022-2023'!$B$4:$B$23,'2022-2023'!I$4:I$23)</f>
        <v>1</v>
      </c>
      <c r="I150">
        <f>_xlfn.XLOOKUP($A150,'2022-2023'!$B$4:$B$23,'2022-2023'!J$4:J$23)</f>
        <v>56.8</v>
      </c>
      <c r="J150">
        <f>_xlfn.XLOOKUP($A150,'2022-2023'!$B$4:$B$23,'2022-2023'!K$4:K$23)</f>
        <v>49.9</v>
      </c>
      <c r="K150">
        <f>_xlfn.XLOOKUP($A150,'2022-2023'!$B$4:$B$23,'2022-2023'!L$4:L$23)</f>
        <v>1.2000000000000028</v>
      </c>
      <c r="L150">
        <f>_xlfn.XLOOKUP($A150,'2022-2023'!$B$4:$B$23,'2022-2023'!M$4:M$23)</f>
        <v>400</v>
      </c>
      <c r="M150">
        <f>_xlfn.XLOOKUP($A150,'2022-2023'!$B$4:$B$23,'2022-2023'!N$4:N$23)</f>
        <v>147</v>
      </c>
      <c r="N150">
        <f>_xlfn.XLOOKUP($A150,'2022-2023'!$B$4:$B$23,'2022-2023'!O$4:O$23)</f>
        <v>7</v>
      </c>
      <c r="O150">
        <f>_xlfn.XLOOKUP($A150,'2022-2023'!$B$4:$B$23,'2022-2023'!P$4:P$23)</f>
        <v>10</v>
      </c>
      <c r="P150">
        <f>_xlfn.XLOOKUP($A150,'2022-2023'!$B$4:$B$23,'2022-2023'!Q$4:Q$23)</f>
        <v>52</v>
      </c>
      <c r="Q150">
        <f>_xlfn.XLOOKUP($A150,'2022-2023'!$B$4:$B$23,'2022-2023'!R$4:R$23)</f>
        <v>6</v>
      </c>
      <c r="R150">
        <f>_xlfn.XLOOKUP($A150,'2022-2023'!$B$4:$B$23,'2022-2023'!S$4:S$23)</f>
        <v>6</v>
      </c>
      <c r="S150">
        <f>_xlfn.XLOOKUP($A150,'2022-2023'!$B$4:$B$23,'2022-2023'!T$4:T$23)</f>
        <v>72</v>
      </c>
      <c r="T150">
        <f>_xlfn.XLOOKUP($A150,'2022-2023'!$B$4:$B$23,'2022-2023'!U$4:U$23)</f>
        <v>3</v>
      </c>
      <c r="U150">
        <f>_xlfn.XLOOKUP($A150,'2022-2023'!$B$4:$B$23,'2022-2023'!V$4:V$23)</f>
        <v>2</v>
      </c>
      <c r="V150">
        <f>_xlfn.XLOOKUP($A150,'2022-2023'!$B$4:$B$23,'2022-2023'!W$4:W$23)</f>
        <v>154</v>
      </c>
      <c r="W150">
        <f>_xlfn.XLOOKUP($A150,'2022-2023'!$B$4:$B$23,'2022-2023'!X$4:X$23)</f>
        <v>770</v>
      </c>
      <c r="X150">
        <f>_xlfn.XLOOKUP($A150,'2022-2023'!$B$4:$B$23,'2022-2023'!Y$4:Y$23)</f>
        <v>337</v>
      </c>
      <c r="Y150">
        <f>_xlfn.XLOOKUP($A150,'2022-2023'!$B$4:$B$23,'2022-2023'!Z$4:Z$23)</f>
        <v>354</v>
      </c>
      <c r="Z150">
        <f>_xlfn.XLOOKUP($A150,'2022-2023'!$B$4:$B$23,'2022-2023'!AA$4:AA$23)</f>
        <v>13920</v>
      </c>
      <c r="AA150">
        <f>_xlfn.XLOOKUP($A150,'2022-2023'!$B$4:$B$23,'2022-2023'!AB$4:AB$23)</f>
        <v>53</v>
      </c>
      <c r="AB150">
        <f>_xlfn.XLOOKUP($A150,'2022-2023'!$B$4:$B$23,'2022-2023'!AC$4:AC$23)</f>
        <v>2222</v>
      </c>
      <c r="AC150">
        <f>_xlfn.XLOOKUP($A150,'2022-2023'!$B$4:$B$23,'2022-2023'!AD$4:AD$23)</f>
        <v>661</v>
      </c>
      <c r="AD150">
        <f>_xlfn.XLOOKUP($A150,'2022-2023'!$B$4:$B$23,'2022-2023'!AE$4:AE$23)</f>
        <v>163</v>
      </c>
      <c r="AE150">
        <f>_xlfn.XLOOKUP($A150,'2022-2023'!$B$4:$B$23,'2022-2023'!AF$4:AF$23)</f>
        <v>51.5</v>
      </c>
      <c r="AF150">
        <f>_xlfn.XLOOKUP($A150,'2022-2023'!$B$4:$B$23,'2022-2023'!AG$4:AG$23)</f>
        <v>3.6</v>
      </c>
      <c r="AG150">
        <f>_xlfn.XLOOKUP($A150,'2022-2023'!$B$4:$B$23,'2022-2023'!AH$4:AH$23)</f>
        <v>23</v>
      </c>
      <c r="AH150">
        <f>_xlfn.XLOOKUP($A150,'2022-2023'!$B$4:$B$23,'2022-2023'!AI$4:AI$23)</f>
        <v>21</v>
      </c>
      <c r="AI150">
        <f>_xlfn.XLOOKUP($A150,'2022-2023'!$B$4:$B$23,'2022-2023'!AJ$4:AJ$23)</f>
        <v>371.2</v>
      </c>
      <c r="AJ150">
        <f>_xlfn.XLOOKUP($A150,'2022-2023'!$B$4:$B$23,'2022-2023'!AK$4:AK$23)</f>
        <v>36</v>
      </c>
      <c r="AK150">
        <f>_xlfn.XLOOKUP($A150,'2022-2023'!$B$4:$B$23,'2022-2023'!AL$4:AL$23)</f>
        <v>10.31111111111111</v>
      </c>
      <c r="AL150">
        <f>_xlfn.XLOOKUP($A150,'2022-2023'!$B$4:$B$23,'2022-2023'!AM$4:AM$23)</f>
        <v>17078</v>
      </c>
      <c r="AM150">
        <f>_xlfn.XLOOKUP($A150,'2022-2023'!$B$4:$B$23,'2022-2023'!AN$4:AN$23)</f>
        <v>0.21</v>
      </c>
      <c r="AN150">
        <f>_xlfn.XLOOKUP($A150,'2022-2023'!$B$4:$B$23,'2022-2023'!AO$4:AO$23)</f>
        <v>0</v>
      </c>
      <c r="AO150">
        <f>_xlfn.XLOOKUP($A150,'2022-2023'!$B$4:$B$23,'2022-2023'!AP$4:AP$23)</f>
        <v>0</v>
      </c>
      <c r="AP150">
        <f>_xlfn.XLOOKUP($A150,'2022-2023'!$B$4:$B$23,'2022-2023'!AQ$4:AQ$23)</f>
        <v>0</v>
      </c>
      <c r="AQ150">
        <f>_xlfn.XLOOKUP($A150,'2022-2023'!$B$4:$B$23,'2022-2023'!AR$4:AR$23)</f>
        <v>0</v>
      </c>
      <c r="AR150">
        <f>_xlfn.XLOOKUP($A150,'2022-2023'!$B$4:$B$23,'2022-2023'!AS$4:AS$23)</f>
        <v>0</v>
      </c>
      <c r="AS150" t="str">
        <f>_xlfn.XLOOKUP($A150,'2022-2023'!$B$4:$B$23,'2022-2023'!AT$4:AT$23)</f>
        <v>22/23</v>
      </c>
    </row>
    <row r="151" spans="1:45" x14ac:dyDescent="0.25">
      <c r="A151">
        <v>10</v>
      </c>
      <c r="B151" t="str">
        <f>_xlfn.XLOOKUP($A151,'2022-2023'!$B$4:$B$23,'2022-2023'!C$4:C$23)</f>
        <v>Fulham</v>
      </c>
      <c r="C151">
        <f>_xlfn.XLOOKUP($A151,'2022-2023'!$B$4:$B$23,'2022-2023'!D$4:D$23)</f>
        <v>55</v>
      </c>
      <c r="D151">
        <f>_xlfn.XLOOKUP($A151,'2022-2023'!$B$4:$B$23,'2022-2023'!E$4:E$23)</f>
        <v>53</v>
      </c>
      <c r="E151">
        <f>_xlfn.XLOOKUP($A151,'2022-2023'!$B$4:$B$23,'2022-2023'!F$4:F$23)</f>
        <v>2</v>
      </c>
      <c r="F151">
        <f>_xlfn.XLOOKUP($A151,'2022-2023'!$B$4:$B$23,'2022-2023'!G$4:G$23)</f>
        <v>9</v>
      </c>
      <c r="G151">
        <f>_xlfn.XLOOKUP($A151,'2022-2023'!$B$4:$B$23,'2022-2023'!H$4:H$23)</f>
        <v>80</v>
      </c>
      <c r="H151">
        <f>_xlfn.XLOOKUP($A151,'2022-2023'!$B$4:$B$23,'2022-2023'!I$4:I$23)</f>
        <v>1</v>
      </c>
      <c r="I151">
        <f>_xlfn.XLOOKUP($A151,'2022-2023'!$B$4:$B$23,'2022-2023'!J$4:J$23)</f>
        <v>46.2</v>
      </c>
      <c r="J151">
        <f>_xlfn.XLOOKUP($A151,'2022-2023'!$B$4:$B$23,'2022-2023'!K$4:K$23)</f>
        <v>63.8</v>
      </c>
      <c r="K151">
        <f>_xlfn.XLOOKUP($A151,'2022-2023'!$B$4:$B$23,'2022-2023'!L$4:L$23)</f>
        <v>8.7999999999999972</v>
      </c>
      <c r="L151">
        <f>_xlfn.XLOOKUP($A151,'2022-2023'!$B$4:$B$23,'2022-2023'!M$4:M$23)</f>
        <v>420</v>
      </c>
      <c r="M151">
        <f>_xlfn.XLOOKUP($A151,'2022-2023'!$B$4:$B$23,'2022-2023'!N$4:N$23)</f>
        <v>137</v>
      </c>
      <c r="N151">
        <f>_xlfn.XLOOKUP($A151,'2022-2023'!$B$4:$B$23,'2022-2023'!O$4:O$23)</f>
        <v>5</v>
      </c>
      <c r="O151">
        <f>_xlfn.XLOOKUP($A151,'2022-2023'!$B$4:$B$23,'2022-2023'!P$4:P$23)</f>
        <v>15</v>
      </c>
      <c r="P151">
        <f>_xlfn.XLOOKUP($A151,'2022-2023'!$B$4:$B$23,'2022-2023'!Q$4:Q$23)</f>
        <v>50</v>
      </c>
      <c r="Q151">
        <f>_xlfn.XLOOKUP($A151,'2022-2023'!$B$4:$B$23,'2022-2023'!R$4:R$23)</f>
        <v>6</v>
      </c>
      <c r="R151">
        <f>_xlfn.XLOOKUP($A151,'2022-2023'!$B$4:$B$23,'2022-2023'!S$4:S$23)</f>
        <v>3</v>
      </c>
      <c r="S151">
        <f>_xlfn.XLOOKUP($A151,'2022-2023'!$B$4:$B$23,'2022-2023'!T$4:T$23)</f>
        <v>60</v>
      </c>
      <c r="T151">
        <f>_xlfn.XLOOKUP($A151,'2022-2023'!$B$4:$B$23,'2022-2023'!U$4:U$23)</f>
        <v>2</v>
      </c>
      <c r="U151">
        <f>_xlfn.XLOOKUP($A151,'2022-2023'!$B$4:$B$23,'2022-2023'!V$4:V$23)</f>
        <v>8</v>
      </c>
      <c r="V151">
        <f>_xlfn.XLOOKUP($A151,'2022-2023'!$B$4:$B$23,'2022-2023'!W$4:W$23)</f>
        <v>144</v>
      </c>
      <c r="W151">
        <f>_xlfn.XLOOKUP($A151,'2022-2023'!$B$4:$B$23,'2022-2023'!X$4:X$23)</f>
        <v>714</v>
      </c>
      <c r="X151">
        <f>_xlfn.XLOOKUP($A151,'2022-2023'!$B$4:$B$23,'2022-2023'!Y$4:Y$23)</f>
        <v>349</v>
      </c>
      <c r="Y151">
        <f>_xlfn.XLOOKUP($A151,'2022-2023'!$B$4:$B$23,'2022-2023'!Z$4:Z$23)</f>
        <v>411</v>
      </c>
      <c r="Z151">
        <f>_xlfn.XLOOKUP($A151,'2022-2023'!$B$4:$B$23,'2022-2023'!AA$4:AA$23)</f>
        <v>16197</v>
      </c>
      <c r="AA151">
        <f>_xlfn.XLOOKUP($A151,'2022-2023'!$B$4:$B$23,'2022-2023'!AB$4:AB$23)</f>
        <v>20</v>
      </c>
      <c r="AB151">
        <f>_xlfn.XLOOKUP($A151,'2022-2023'!$B$4:$B$23,'2022-2023'!AC$4:AC$23)</f>
        <v>2493</v>
      </c>
      <c r="AC151">
        <f>_xlfn.XLOOKUP($A151,'2022-2023'!$B$4:$B$23,'2022-2023'!AD$4:AD$23)</f>
        <v>769</v>
      </c>
      <c r="AD151">
        <f>_xlfn.XLOOKUP($A151,'2022-2023'!$B$4:$B$23,'2022-2023'!AE$4:AE$23)</f>
        <v>182</v>
      </c>
      <c r="AE151">
        <f>_xlfn.XLOOKUP($A151,'2022-2023'!$B$4:$B$23,'2022-2023'!AF$4:AF$23)</f>
        <v>72.8</v>
      </c>
      <c r="AF151">
        <f>_xlfn.XLOOKUP($A151,'2022-2023'!$B$4:$B$23,'2022-2023'!AG$4:AG$23)</f>
        <v>103.6</v>
      </c>
      <c r="AG151">
        <f>_xlfn.XLOOKUP($A151,'2022-2023'!$B$4:$B$23,'2022-2023'!AH$4:AH$23)</f>
        <v>20</v>
      </c>
      <c r="AH151">
        <f>_xlfn.XLOOKUP($A151,'2022-2023'!$B$4:$B$23,'2022-2023'!AI$4:AI$23)</f>
        <v>21</v>
      </c>
      <c r="AI151">
        <f>_xlfn.XLOOKUP($A151,'2022-2023'!$B$4:$B$23,'2022-2023'!AJ$4:AJ$23)</f>
        <v>299.25</v>
      </c>
      <c r="AJ151">
        <f>_xlfn.XLOOKUP($A151,'2022-2023'!$B$4:$B$23,'2022-2023'!AK$4:AK$23)</f>
        <v>47</v>
      </c>
      <c r="AK151">
        <f>_xlfn.XLOOKUP($A151,'2022-2023'!$B$4:$B$23,'2022-2023'!AL$4:AL$23)</f>
        <v>6.3670212765957448</v>
      </c>
      <c r="AL151">
        <f>_xlfn.XLOOKUP($A151,'2022-2023'!$B$4:$B$23,'2022-2023'!AM$4:AM$23)</f>
        <v>23746</v>
      </c>
      <c r="AM151">
        <f>_xlfn.XLOOKUP($A151,'2022-2023'!$B$4:$B$23,'2022-2023'!AN$4:AN$23)</f>
        <v>0.01</v>
      </c>
      <c r="AN151">
        <f>_xlfn.XLOOKUP($A151,'2022-2023'!$B$4:$B$23,'2022-2023'!AO$4:AO$23)</f>
        <v>0</v>
      </c>
      <c r="AO151">
        <f>_xlfn.XLOOKUP($A151,'2022-2023'!$B$4:$B$23,'2022-2023'!AP$4:AP$23)</f>
        <v>1</v>
      </c>
      <c r="AP151">
        <f>_xlfn.XLOOKUP($A151,'2022-2023'!$B$4:$B$23,'2022-2023'!AQ$4:AQ$23)</f>
        <v>0</v>
      </c>
      <c r="AQ151">
        <f>_xlfn.XLOOKUP($A151,'2022-2023'!$B$4:$B$23,'2022-2023'!AR$4:AR$23)</f>
        <v>0</v>
      </c>
      <c r="AR151">
        <f>_xlfn.XLOOKUP($A151,'2022-2023'!$B$4:$B$23,'2022-2023'!AS$4:AS$23)</f>
        <v>0</v>
      </c>
      <c r="AS151" t="str">
        <f>_xlfn.XLOOKUP($A151,'2022-2023'!$B$4:$B$23,'2022-2023'!AT$4:AT$23)</f>
        <v>22/23</v>
      </c>
    </row>
    <row r="152" spans="1:45" x14ac:dyDescent="0.25">
      <c r="A152">
        <v>11</v>
      </c>
      <c r="B152" t="str">
        <f>_xlfn.XLOOKUP($A152,'2022-2023'!$B$4:$B$23,'2022-2023'!C$4:C$23)</f>
        <v>Crystal Palace</v>
      </c>
      <c r="C152">
        <f>_xlfn.XLOOKUP($A152,'2022-2023'!$B$4:$B$23,'2022-2023'!D$4:D$23)</f>
        <v>40</v>
      </c>
      <c r="D152">
        <f>_xlfn.XLOOKUP($A152,'2022-2023'!$B$4:$B$23,'2022-2023'!E$4:E$23)</f>
        <v>49</v>
      </c>
      <c r="E152">
        <f>_xlfn.XLOOKUP($A152,'2022-2023'!$B$4:$B$23,'2022-2023'!F$4:F$23)</f>
        <v>-9</v>
      </c>
      <c r="F152">
        <f>_xlfn.XLOOKUP($A152,'2022-2023'!$B$4:$B$23,'2022-2023'!G$4:G$23)</f>
        <v>9</v>
      </c>
      <c r="G152">
        <f>_xlfn.XLOOKUP($A152,'2022-2023'!$B$4:$B$23,'2022-2023'!H$4:H$23)</f>
        <v>82</v>
      </c>
      <c r="H152">
        <f>_xlfn.XLOOKUP($A152,'2022-2023'!$B$4:$B$23,'2022-2023'!I$4:I$23)</f>
        <v>3</v>
      </c>
      <c r="I152">
        <f>_xlfn.XLOOKUP($A152,'2022-2023'!$B$4:$B$23,'2022-2023'!J$4:J$23)</f>
        <v>39.299999999999997</v>
      </c>
      <c r="J152">
        <f>_xlfn.XLOOKUP($A152,'2022-2023'!$B$4:$B$23,'2022-2023'!K$4:K$23)</f>
        <v>48.1</v>
      </c>
      <c r="K152">
        <f>_xlfn.XLOOKUP($A152,'2022-2023'!$B$4:$B$23,'2022-2023'!L$4:L$23)</f>
        <v>0.70000000000000284</v>
      </c>
      <c r="L152">
        <f>_xlfn.XLOOKUP($A152,'2022-2023'!$B$4:$B$23,'2022-2023'!M$4:M$23)</f>
        <v>423</v>
      </c>
      <c r="M152">
        <f>_xlfn.XLOOKUP($A152,'2022-2023'!$B$4:$B$23,'2022-2023'!N$4:N$23)</f>
        <v>133</v>
      </c>
      <c r="N152">
        <f>_xlfn.XLOOKUP($A152,'2022-2023'!$B$4:$B$23,'2022-2023'!O$4:O$23)</f>
        <v>1</v>
      </c>
      <c r="O152">
        <f>_xlfn.XLOOKUP($A152,'2022-2023'!$B$4:$B$23,'2022-2023'!P$4:P$23)</f>
        <v>7</v>
      </c>
      <c r="P152">
        <f>_xlfn.XLOOKUP($A152,'2022-2023'!$B$4:$B$23,'2022-2023'!Q$4:Q$23)</f>
        <v>35</v>
      </c>
      <c r="Q152">
        <f>_xlfn.XLOOKUP($A152,'2022-2023'!$B$4:$B$23,'2022-2023'!R$4:R$23)</f>
        <v>5</v>
      </c>
      <c r="R152">
        <f>_xlfn.XLOOKUP($A152,'2022-2023'!$B$4:$B$23,'2022-2023'!S$4:S$23)</f>
        <v>5</v>
      </c>
      <c r="S152">
        <f>_xlfn.XLOOKUP($A152,'2022-2023'!$B$4:$B$23,'2022-2023'!T$4:T$23)</f>
        <v>58</v>
      </c>
      <c r="T152">
        <f>_xlfn.XLOOKUP($A152,'2022-2023'!$B$4:$B$23,'2022-2023'!U$4:U$23)</f>
        <v>3</v>
      </c>
      <c r="U152">
        <f>_xlfn.XLOOKUP($A152,'2022-2023'!$B$4:$B$23,'2022-2023'!V$4:V$23)</f>
        <v>4</v>
      </c>
      <c r="V152">
        <f>_xlfn.XLOOKUP($A152,'2022-2023'!$B$4:$B$23,'2022-2023'!W$4:W$23)</f>
        <v>114</v>
      </c>
      <c r="W152">
        <f>_xlfn.XLOOKUP($A152,'2022-2023'!$B$4:$B$23,'2022-2023'!X$4:X$23)</f>
        <v>788</v>
      </c>
      <c r="X152">
        <f>_xlfn.XLOOKUP($A152,'2022-2023'!$B$4:$B$23,'2022-2023'!Y$4:Y$23)</f>
        <v>421</v>
      </c>
      <c r="Y152">
        <f>_xlfn.XLOOKUP($A152,'2022-2023'!$B$4:$B$23,'2022-2023'!Z$4:Z$23)</f>
        <v>446</v>
      </c>
      <c r="Z152">
        <f>_xlfn.XLOOKUP($A152,'2022-2023'!$B$4:$B$23,'2022-2023'!AA$4:AA$23)</f>
        <v>15707</v>
      </c>
      <c r="AA152">
        <f>_xlfn.XLOOKUP($A152,'2022-2023'!$B$4:$B$23,'2022-2023'!AB$4:AB$23)</f>
        <v>41</v>
      </c>
      <c r="AB152">
        <f>_xlfn.XLOOKUP($A152,'2022-2023'!$B$4:$B$23,'2022-2023'!AC$4:AC$23)</f>
        <v>2644</v>
      </c>
      <c r="AC152">
        <f>_xlfn.XLOOKUP($A152,'2022-2023'!$B$4:$B$23,'2022-2023'!AD$4:AD$23)</f>
        <v>591</v>
      </c>
      <c r="AD152">
        <f>_xlfn.XLOOKUP($A152,'2022-2023'!$B$4:$B$23,'2022-2023'!AE$4:AE$23)</f>
        <v>186</v>
      </c>
      <c r="AE152">
        <f>_xlfn.XLOOKUP($A152,'2022-2023'!$B$4:$B$23,'2022-2023'!AF$4:AF$23)</f>
        <v>46.6</v>
      </c>
      <c r="AF152">
        <f>_xlfn.XLOOKUP($A152,'2022-2023'!$B$4:$B$23,'2022-2023'!AG$4:AG$23)</f>
        <v>5.46</v>
      </c>
      <c r="AG152">
        <f>_xlfn.XLOOKUP($A152,'2022-2023'!$B$4:$B$23,'2022-2023'!AH$4:AH$23)</f>
        <v>14</v>
      </c>
      <c r="AH152">
        <f>_xlfn.XLOOKUP($A152,'2022-2023'!$B$4:$B$23,'2022-2023'!AI$4:AI$23)</f>
        <v>12</v>
      </c>
      <c r="AI152">
        <f>_xlfn.XLOOKUP($A152,'2022-2023'!$B$4:$B$23,'2022-2023'!AJ$4:AJ$23)</f>
        <v>323.05</v>
      </c>
      <c r="AJ152">
        <f>_xlfn.XLOOKUP($A152,'2022-2023'!$B$4:$B$23,'2022-2023'!AK$4:AK$23)</f>
        <v>39</v>
      </c>
      <c r="AK152">
        <f>_xlfn.XLOOKUP($A152,'2022-2023'!$B$4:$B$23,'2022-2023'!AL$4:AL$23)</f>
        <v>8.2833333333333332</v>
      </c>
      <c r="AL152">
        <f>_xlfn.XLOOKUP($A152,'2022-2023'!$B$4:$B$23,'2022-2023'!AM$4:AM$23)</f>
        <v>24952</v>
      </c>
      <c r="AM152">
        <f>_xlfn.XLOOKUP($A152,'2022-2023'!$B$4:$B$23,'2022-2023'!AN$4:AN$23)</f>
        <v>0.15</v>
      </c>
      <c r="AN152">
        <f>_xlfn.XLOOKUP($A152,'2022-2023'!$B$4:$B$23,'2022-2023'!AO$4:AO$23)</f>
        <v>0</v>
      </c>
      <c r="AO152">
        <f>_xlfn.XLOOKUP($A152,'2022-2023'!$B$4:$B$23,'2022-2023'!AP$4:AP$23)</f>
        <v>0</v>
      </c>
      <c r="AP152">
        <f>_xlfn.XLOOKUP($A152,'2022-2023'!$B$4:$B$23,'2022-2023'!AQ$4:AQ$23)</f>
        <v>0</v>
      </c>
      <c r="AQ152">
        <f>_xlfn.XLOOKUP($A152,'2022-2023'!$B$4:$B$23,'2022-2023'!AR$4:AR$23)</f>
        <v>0</v>
      </c>
      <c r="AR152">
        <f>_xlfn.XLOOKUP($A152,'2022-2023'!$B$4:$B$23,'2022-2023'!AS$4:AS$23)</f>
        <v>0</v>
      </c>
      <c r="AS152" t="str">
        <f>_xlfn.XLOOKUP($A152,'2022-2023'!$B$4:$B$23,'2022-2023'!AT$4:AT$23)</f>
        <v>22/23</v>
      </c>
    </row>
    <row r="153" spans="1:45" x14ac:dyDescent="0.25">
      <c r="A153">
        <v>12</v>
      </c>
      <c r="B153" t="str">
        <f>_xlfn.XLOOKUP($A153,'2022-2023'!$B$4:$B$23,'2022-2023'!C$4:C$23)</f>
        <v>Chelsea</v>
      </c>
      <c r="C153">
        <f>_xlfn.XLOOKUP($A153,'2022-2023'!$B$4:$B$23,'2022-2023'!D$4:D$23)</f>
        <v>38</v>
      </c>
      <c r="D153">
        <f>_xlfn.XLOOKUP($A153,'2022-2023'!$B$4:$B$23,'2022-2023'!E$4:E$23)</f>
        <v>47</v>
      </c>
      <c r="E153">
        <f>_xlfn.XLOOKUP($A153,'2022-2023'!$B$4:$B$23,'2022-2023'!F$4:F$23)</f>
        <v>-9</v>
      </c>
      <c r="F153">
        <f>_xlfn.XLOOKUP($A153,'2022-2023'!$B$4:$B$23,'2022-2023'!G$4:G$23)</f>
        <v>10</v>
      </c>
      <c r="G153">
        <f>_xlfn.XLOOKUP($A153,'2022-2023'!$B$4:$B$23,'2022-2023'!H$4:H$23)</f>
        <v>81</v>
      </c>
      <c r="H153">
        <f>_xlfn.XLOOKUP($A153,'2022-2023'!$B$4:$B$23,'2022-2023'!I$4:I$23)</f>
        <v>3</v>
      </c>
      <c r="I153">
        <f>_xlfn.XLOOKUP($A153,'2022-2023'!$B$4:$B$23,'2022-2023'!J$4:J$23)</f>
        <v>49.5</v>
      </c>
      <c r="J153">
        <f>_xlfn.XLOOKUP($A153,'2022-2023'!$B$4:$B$23,'2022-2023'!K$4:K$23)</f>
        <v>52.5</v>
      </c>
      <c r="K153">
        <f>_xlfn.XLOOKUP($A153,'2022-2023'!$B$4:$B$23,'2022-2023'!L$4:L$23)</f>
        <v>-11.5</v>
      </c>
      <c r="L153">
        <f>_xlfn.XLOOKUP($A153,'2022-2023'!$B$4:$B$23,'2022-2023'!M$4:M$23)</f>
        <v>481</v>
      </c>
      <c r="M153">
        <f>_xlfn.XLOOKUP($A153,'2022-2023'!$B$4:$B$23,'2022-2023'!N$4:N$23)</f>
        <v>151</v>
      </c>
      <c r="N153">
        <f>_xlfn.XLOOKUP($A153,'2022-2023'!$B$4:$B$23,'2022-2023'!O$4:O$23)</f>
        <v>3</v>
      </c>
      <c r="O153">
        <f>_xlfn.XLOOKUP($A153,'2022-2023'!$B$4:$B$23,'2022-2023'!P$4:P$23)</f>
        <v>5</v>
      </c>
      <c r="P153">
        <f>_xlfn.XLOOKUP($A153,'2022-2023'!$B$4:$B$23,'2022-2023'!Q$4:Q$23)</f>
        <v>33</v>
      </c>
      <c r="Q153">
        <f>_xlfn.XLOOKUP($A153,'2022-2023'!$B$4:$B$23,'2022-2023'!R$4:R$23)</f>
        <v>6</v>
      </c>
      <c r="R153">
        <f>_xlfn.XLOOKUP($A153,'2022-2023'!$B$4:$B$23,'2022-2023'!S$4:S$23)</f>
        <v>1</v>
      </c>
      <c r="S153">
        <f>_xlfn.XLOOKUP($A153,'2022-2023'!$B$4:$B$23,'2022-2023'!T$4:T$23)</f>
        <v>74</v>
      </c>
      <c r="T153">
        <f>_xlfn.XLOOKUP($A153,'2022-2023'!$B$4:$B$23,'2022-2023'!U$4:U$23)</f>
        <v>3</v>
      </c>
      <c r="U153">
        <f>_xlfn.XLOOKUP($A153,'2022-2023'!$B$4:$B$23,'2022-2023'!V$4:V$23)</f>
        <v>1</v>
      </c>
      <c r="V153">
        <f>_xlfn.XLOOKUP($A153,'2022-2023'!$B$4:$B$23,'2022-2023'!W$4:W$23)</f>
        <v>115</v>
      </c>
      <c r="W153">
        <f>_xlfn.XLOOKUP($A153,'2022-2023'!$B$4:$B$23,'2022-2023'!X$4:X$23)</f>
        <v>628</v>
      </c>
      <c r="X153">
        <f>_xlfn.XLOOKUP($A153,'2022-2023'!$B$4:$B$23,'2022-2023'!Y$4:Y$23)</f>
        <v>445</v>
      </c>
      <c r="Y153">
        <f>_xlfn.XLOOKUP($A153,'2022-2023'!$B$4:$B$23,'2022-2023'!Z$4:Z$23)</f>
        <v>397</v>
      </c>
      <c r="Z153">
        <f>_xlfn.XLOOKUP($A153,'2022-2023'!$B$4:$B$23,'2022-2023'!AA$4:AA$23)</f>
        <v>21149</v>
      </c>
      <c r="AA153">
        <f>_xlfn.XLOOKUP($A153,'2022-2023'!$B$4:$B$23,'2022-2023'!AB$4:AB$23)</f>
        <v>58</v>
      </c>
      <c r="AB153">
        <f>_xlfn.XLOOKUP($A153,'2022-2023'!$B$4:$B$23,'2022-2023'!AC$4:AC$23)</f>
        <v>3286</v>
      </c>
      <c r="AC153">
        <f>_xlfn.XLOOKUP($A153,'2022-2023'!$B$4:$B$23,'2022-2023'!AD$4:AD$23)</f>
        <v>693</v>
      </c>
      <c r="AD153">
        <f>_xlfn.XLOOKUP($A153,'2022-2023'!$B$4:$B$23,'2022-2023'!AE$4:AE$23)</f>
        <v>209</v>
      </c>
      <c r="AE153">
        <f>_xlfn.XLOOKUP($A153,'2022-2023'!$B$4:$B$23,'2022-2023'!AF$4:AF$23)</f>
        <v>611.49</v>
      </c>
      <c r="AF153">
        <f>_xlfn.XLOOKUP($A153,'2022-2023'!$B$4:$B$23,'2022-2023'!AG$4:AG$23)</f>
        <v>67.8</v>
      </c>
      <c r="AG153">
        <f>_xlfn.XLOOKUP($A153,'2022-2023'!$B$4:$B$23,'2022-2023'!AH$4:AH$23)</f>
        <v>24</v>
      </c>
      <c r="AH153">
        <f>_xlfn.XLOOKUP($A153,'2022-2023'!$B$4:$B$23,'2022-2023'!AI$4:AI$23)</f>
        <v>23</v>
      </c>
      <c r="AI153">
        <f>_xlfn.XLOOKUP($A153,'2022-2023'!$B$4:$B$23,'2022-2023'!AJ$4:AJ$23)</f>
        <v>994.95</v>
      </c>
      <c r="AJ153">
        <f>_xlfn.XLOOKUP($A153,'2022-2023'!$B$4:$B$23,'2022-2023'!AK$4:AK$23)</f>
        <v>43</v>
      </c>
      <c r="AK153">
        <f>_xlfn.XLOOKUP($A153,'2022-2023'!$B$4:$B$23,'2022-2023'!AL$4:AL$23)</f>
        <v>23.138372093023257</v>
      </c>
      <c r="AL153">
        <f>_xlfn.XLOOKUP($A153,'2022-2023'!$B$4:$B$23,'2022-2023'!AM$4:AM$23)</f>
        <v>40002</v>
      </c>
      <c r="AM153">
        <f>_xlfn.XLOOKUP($A153,'2022-2023'!$B$4:$B$23,'2022-2023'!AN$4:AN$23)</f>
        <v>0.12</v>
      </c>
      <c r="AN153">
        <f>_xlfn.XLOOKUP($A153,'2022-2023'!$B$4:$B$23,'2022-2023'!AO$4:AO$23)</f>
        <v>1</v>
      </c>
      <c r="AO153">
        <f>_xlfn.XLOOKUP($A153,'2022-2023'!$B$4:$B$23,'2022-2023'!AP$4:AP$23)</f>
        <v>0</v>
      </c>
      <c r="AP153">
        <f>_xlfn.XLOOKUP($A153,'2022-2023'!$B$4:$B$23,'2022-2023'!AQ$4:AQ$23)</f>
        <v>0</v>
      </c>
      <c r="AQ153">
        <f>_xlfn.XLOOKUP($A153,'2022-2023'!$B$4:$B$23,'2022-2023'!AR$4:AR$23)</f>
        <v>0</v>
      </c>
      <c r="AR153">
        <f>_xlfn.XLOOKUP($A153,'2022-2023'!$B$4:$B$23,'2022-2023'!AS$4:AS$23)</f>
        <v>1</v>
      </c>
      <c r="AS153" t="str">
        <f>_xlfn.XLOOKUP($A153,'2022-2023'!$B$4:$B$23,'2022-2023'!AT$4:AT$23)</f>
        <v>22/23</v>
      </c>
    </row>
    <row r="154" spans="1:45" x14ac:dyDescent="0.25">
      <c r="A154">
        <v>13</v>
      </c>
      <c r="B154" t="str">
        <f>_xlfn.XLOOKUP($A154,'2022-2023'!$B$4:$B$23,'2022-2023'!C$4:C$23)</f>
        <v>Wolverhampton Wanderers</v>
      </c>
      <c r="C154">
        <f>_xlfn.XLOOKUP($A154,'2022-2023'!$B$4:$B$23,'2022-2023'!D$4:D$23)</f>
        <v>31</v>
      </c>
      <c r="D154">
        <f>_xlfn.XLOOKUP($A154,'2022-2023'!$B$4:$B$23,'2022-2023'!E$4:E$23)</f>
        <v>58</v>
      </c>
      <c r="E154">
        <f>_xlfn.XLOOKUP($A154,'2022-2023'!$B$4:$B$23,'2022-2023'!F$4:F$23)</f>
        <v>-27</v>
      </c>
      <c r="F154">
        <f>_xlfn.XLOOKUP($A154,'2022-2023'!$B$4:$B$23,'2022-2023'!G$4:G$23)</f>
        <v>11</v>
      </c>
      <c r="G154">
        <f>_xlfn.XLOOKUP($A154,'2022-2023'!$B$4:$B$23,'2022-2023'!H$4:H$23)</f>
        <v>85</v>
      </c>
      <c r="H154">
        <f>_xlfn.XLOOKUP($A154,'2022-2023'!$B$4:$B$23,'2022-2023'!I$4:I$23)</f>
        <v>6</v>
      </c>
      <c r="I154">
        <f>_xlfn.XLOOKUP($A154,'2022-2023'!$B$4:$B$23,'2022-2023'!J$4:J$23)</f>
        <v>36.799999999999997</v>
      </c>
      <c r="J154">
        <f>_xlfn.XLOOKUP($A154,'2022-2023'!$B$4:$B$23,'2022-2023'!K$4:K$23)</f>
        <v>59.9</v>
      </c>
      <c r="K154">
        <f>_xlfn.XLOOKUP($A154,'2022-2023'!$B$4:$B$23,'2022-2023'!L$4:L$23)</f>
        <v>-5.7999999999999972</v>
      </c>
      <c r="L154">
        <f>_xlfn.XLOOKUP($A154,'2022-2023'!$B$4:$B$23,'2022-2023'!M$4:M$23)</f>
        <v>409</v>
      </c>
      <c r="M154">
        <f>_xlfn.XLOOKUP($A154,'2022-2023'!$B$4:$B$23,'2022-2023'!N$4:N$23)</f>
        <v>119</v>
      </c>
      <c r="N154">
        <f>_xlfn.XLOOKUP($A154,'2022-2023'!$B$4:$B$23,'2022-2023'!O$4:O$23)</f>
        <v>3</v>
      </c>
      <c r="O154">
        <f>_xlfn.XLOOKUP($A154,'2022-2023'!$B$4:$B$23,'2022-2023'!P$4:P$23)</f>
        <v>2</v>
      </c>
      <c r="P154">
        <f>_xlfn.XLOOKUP($A154,'2022-2023'!$B$4:$B$23,'2022-2023'!Q$4:Q$23)</f>
        <v>28</v>
      </c>
      <c r="Q154">
        <f>_xlfn.XLOOKUP($A154,'2022-2023'!$B$4:$B$23,'2022-2023'!R$4:R$23)</f>
        <v>4</v>
      </c>
      <c r="R154">
        <f>_xlfn.XLOOKUP($A154,'2022-2023'!$B$4:$B$23,'2022-2023'!S$4:S$23)</f>
        <v>5</v>
      </c>
      <c r="S154">
        <f>_xlfn.XLOOKUP($A154,'2022-2023'!$B$4:$B$23,'2022-2023'!T$4:T$23)</f>
        <v>62</v>
      </c>
      <c r="T154">
        <f>_xlfn.XLOOKUP($A154,'2022-2023'!$B$4:$B$23,'2022-2023'!U$4:U$23)</f>
        <v>1</v>
      </c>
      <c r="U154">
        <f>_xlfn.XLOOKUP($A154,'2022-2023'!$B$4:$B$23,'2022-2023'!V$4:V$23)</f>
        <v>4</v>
      </c>
      <c r="V154">
        <f>_xlfn.XLOOKUP($A154,'2022-2023'!$B$4:$B$23,'2022-2023'!W$4:W$23)</f>
        <v>115</v>
      </c>
      <c r="W154">
        <f>_xlfn.XLOOKUP($A154,'2022-2023'!$B$4:$B$23,'2022-2023'!X$4:X$23)</f>
        <v>780</v>
      </c>
      <c r="X154">
        <f>_xlfn.XLOOKUP($A154,'2022-2023'!$B$4:$B$23,'2022-2023'!Y$4:Y$23)</f>
        <v>370</v>
      </c>
      <c r="Y154">
        <f>_xlfn.XLOOKUP($A154,'2022-2023'!$B$4:$B$23,'2022-2023'!Z$4:Z$23)</f>
        <v>463</v>
      </c>
      <c r="Z154">
        <f>_xlfn.XLOOKUP($A154,'2022-2023'!$B$4:$B$23,'2022-2023'!AA$4:AA$23)</f>
        <v>16712</v>
      </c>
      <c r="AA154">
        <f>_xlfn.XLOOKUP($A154,'2022-2023'!$B$4:$B$23,'2022-2023'!AB$4:AB$23)</f>
        <v>49</v>
      </c>
      <c r="AB154">
        <f>_xlfn.XLOOKUP($A154,'2022-2023'!$B$4:$B$23,'2022-2023'!AC$4:AC$23)</f>
        <v>2681</v>
      </c>
      <c r="AC154">
        <f>_xlfn.XLOOKUP($A154,'2022-2023'!$B$4:$B$23,'2022-2023'!AD$4:AD$23)</f>
        <v>661</v>
      </c>
      <c r="AD154">
        <f>_xlfn.XLOOKUP($A154,'2022-2023'!$B$4:$B$23,'2022-2023'!AE$4:AE$23)</f>
        <v>185</v>
      </c>
      <c r="AE154">
        <f>_xlfn.XLOOKUP($A154,'2022-2023'!$B$4:$B$23,'2022-2023'!AF$4:AF$23)</f>
        <v>177.11</v>
      </c>
      <c r="AF154">
        <f>_xlfn.XLOOKUP($A154,'2022-2023'!$B$4:$B$23,'2022-2023'!AG$4:AG$23)</f>
        <v>62.87</v>
      </c>
      <c r="AG154">
        <f>_xlfn.XLOOKUP($A154,'2022-2023'!$B$4:$B$23,'2022-2023'!AH$4:AH$23)</f>
        <v>32</v>
      </c>
      <c r="AH154">
        <f>_xlfn.XLOOKUP($A154,'2022-2023'!$B$4:$B$23,'2022-2023'!AI$4:AI$23)</f>
        <v>28</v>
      </c>
      <c r="AI154">
        <f>_xlfn.XLOOKUP($A154,'2022-2023'!$B$4:$B$23,'2022-2023'!AJ$4:AJ$23)</f>
        <v>497.65</v>
      </c>
      <c r="AJ154">
        <f>_xlfn.XLOOKUP($A154,'2022-2023'!$B$4:$B$23,'2022-2023'!AK$4:AK$23)</f>
        <v>43</v>
      </c>
      <c r="AK154">
        <f>_xlfn.XLOOKUP($A154,'2022-2023'!$B$4:$B$23,'2022-2023'!AL$4:AL$23)</f>
        <v>11.573255813953487</v>
      </c>
      <c r="AL154">
        <f>_xlfn.XLOOKUP($A154,'2022-2023'!$B$4:$B$23,'2022-2023'!AM$4:AM$23)</f>
        <v>31482</v>
      </c>
      <c r="AM154">
        <f>_xlfn.XLOOKUP($A154,'2022-2023'!$B$4:$B$23,'2022-2023'!AN$4:AN$23)</f>
        <v>0.27</v>
      </c>
      <c r="AN154">
        <f>_xlfn.XLOOKUP($A154,'2022-2023'!$B$4:$B$23,'2022-2023'!AO$4:AO$23)</f>
        <v>0</v>
      </c>
      <c r="AO154">
        <f>_xlfn.XLOOKUP($A154,'2022-2023'!$B$4:$B$23,'2022-2023'!AP$4:AP$23)</f>
        <v>0</v>
      </c>
      <c r="AP154">
        <f>_xlfn.XLOOKUP($A154,'2022-2023'!$B$4:$B$23,'2022-2023'!AQ$4:AQ$23)</f>
        <v>0</v>
      </c>
      <c r="AQ154">
        <f>_xlfn.XLOOKUP($A154,'2022-2023'!$B$4:$B$23,'2022-2023'!AR$4:AR$23)</f>
        <v>0</v>
      </c>
      <c r="AR154">
        <f>_xlfn.XLOOKUP($A154,'2022-2023'!$B$4:$B$23,'2022-2023'!AS$4:AS$23)</f>
        <v>0</v>
      </c>
      <c r="AS154" t="str">
        <f>_xlfn.XLOOKUP($A154,'2022-2023'!$B$4:$B$23,'2022-2023'!AT$4:AT$23)</f>
        <v>22/23</v>
      </c>
    </row>
    <row r="155" spans="1:45" x14ac:dyDescent="0.25">
      <c r="A155">
        <v>14</v>
      </c>
      <c r="B155" t="str">
        <f>_xlfn.XLOOKUP($A155,'2022-2023'!$B$4:$B$23,'2022-2023'!C$4:C$23)</f>
        <v>West Ham United</v>
      </c>
      <c r="C155">
        <f>_xlfn.XLOOKUP($A155,'2022-2023'!$B$4:$B$23,'2022-2023'!D$4:D$23)</f>
        <v>42</v>
      </c>
      <c r="D155">
        <f>_xlfn.XLOOKUP($A155,'2022-2023'!$B$4:$B$23,'2022-2023'!E$4:E$23)</f>
        <v>55</v>
      </c>
      <c r="E155">
        <f>_xlfn.XLOOKUP($A155,'2022-2023'!$B$4:$B$23,'2022-2023'!F$4:F$23)</f>
        <v>-13</v>
      </c>
      <c r="F155">
        <f>_xlfn.XLOOKUP($A155,'2022-2023'!$B$4:$B$23,'2022-2023'!G$4:G$23)</f>
        <v>9</v>
      </c>
      <c r="G155">
        <f>_xlfn.XLOOKUP($A155,'2022-2023'!$B$4:$B$23,'2022-2023'!H$4:H$23)</f>
        <v>44</v>
      </c>
      <c r="H155">
        <f>_xlfn.XLOOKUP($A155,'2022-2023'!$B$4:$B$23,'2022-2023'!I$4:I$23)</f>
        <v>0</v>
      </c>
      <c r="I155">
        <f>_xlfn.XLOOKUP($A155,'2022-2023'!$B$4:$B$23,'2022-2023'!J$4:J$23)</f>
        <v>49.2</v>
      </c>
      <c r="J155">
        <f>_xlfn.XLOOKUP($A155,'2022-2023'!$B$4:$B$23,'2022-2023'!K$4:K$23)</f>
        <v>53</v>
      </c>
      <c r="K155">
        <f>_xlfn.XLOOKUP($A155,'2022-2023'!$B$4:$B$23,'2022-2023'!L$4:L$23)</f>
        <v>-7.2000000000000028</v>
      </c>
      <c r="L155">
        <f>_xlfn.XLOOKUP($A155,'2022-2023'!$B$4:$B$23,'2022-2023'!M$4:M$23)</f>
        <v>466</v>
      </c>
      <c r="M155">
        <f>_xlfn.XLOOKUP($A155,'2022-2023'!$B$4:$B$23,'2022-2023'!N$4:N$23)</f>
        <v>133</v>
      </c>
      <c r="N155">
        <f>_xlfn.XLOOKUP($A155,'2022-2023'!$B$4:$B$23,'2022-2023'!O$4:O$23)</f>
        <v>6</v>
      </c>
      <c r="O155">
        <f>_xlfn.XLOOKUP($A155,'2022-2023'!$B$4:$B$23,'2022-2023'!P$4:P$23)</f>
        <v>8</v>
      </c>
      <c r="P155">
        <f>_xlfn.XLOOKUP($A155,'2022-2023'!$B$4:$B$23,'2022-2023'!Q$4:Q$23)</f>
        <v>34</v>
      </c>
      <c r="Q155">
        <f>_xlfn.XLOOKUP($A155,'2022-2023'!$B$4:$B$23,'2022-2023'!R$4:R$23)</f>
        <v>8</v>
      </c>
      <c r="R155">
        <f>_xlfn.XLOOKUP($A155,'2022-2023'!$B$4:$B$23,'2022-2023'!S$4:S$23)</f>
        <v>1</v>
      </c>
      <c r="S155">
        <f>_xlfn.XLOOKUP($A155,'2022-2023'!$B$4:$B$23,'2022-2023'!T$4:T$23)</f>
        <v>62</v>
      </c>
      <c r="T155">
        <f>_xlfn.XLOOKUP($A155,'2022-2023'!$B$4:$B$23,'2022-2023'!U$4:U$23)</f>
        <v>1</v>
      </c>
      <c r="U155">
        <f>_xlfn.XLOOKUP($A155,'2022-2023'!$B$4:$B$23,'2022-2023'!V$4:V$23)</f>
        <v>6</v>
      </c>
      <c r="V155">
        <f>_xlfn.XLOOKUP($A155,'2022-2023'!$B$4:$B$23,'2022-2023'!W$4:W$23)</f>
        <v>115</v>
      </c>
      <c r="W155">
        <f>_xlfn.XLOOKUP($A155,'2022-2023'!$B$4:$B$23,'2022-2023'!X$4:X$23)</f>
        <v>779</v>
      </c>
      <c r="X155">
        <f>_xlfn.XLOOKUP($A155,'2022-2023'!$B$4:$B$23,'2022-2023'!Y$4:Y$23)</f>
        <v>335</v>
      </c>
      <c r="Y155">
        <f>_xlfn.XLOOKUP($A155,'2022-2023'!$B$4:$B$23,'2022-2023'!Z$4:Z$23)</f>
        <v>362</v>
      </c>
      <c r="Z155">
        <f>_xlfn.XLOOKUP($A155,'2022-2023'!$B$4:$B$23,'2022-2023'!AA$4:AA$23)</f>
        <v>14638</v>
      </c>
      <c r="AA155">
        <f>_xlfn.XLOOKUP($A155,'2022-2023'!$B$4:$B$23,'2022-2023'!AB$4:AB$23)</f>
        <v>41</v>
      </c>
      <c r="AB155">
        <f>_xlfn.XLOOKUP($A155,'2022-2023'!$B$4:$B$23,'2022-2023'!AC$4:AC$23)</f>
        <v>2092</v>
      </c>
      <c r="AC155">
        <f>_xlfn.XLOOKUP($A155,'2022-2023'!$B$4:$B$23,'2022-2023'!AD$4:AD$23)</f>
        <v>768</v>
      </c>
      <c r="AD155">
        <f>_xlfn.XLOOKUP($A155,'2022-2023'!$B$4:$B$23,'2022-2023'!AE$4:AE$23)</f>
        <v>206</v>
      </c>
      <c r="AE155">
        <f>_xlfn.XLOOKUP($A155,'2022-2023'!$B$4:$B$23,'2022-2023'!AF$4:AF$23)</f>
        <v>186.5</v>
      </c>
      <c r="AF155">
        <f>_xlfn.XLOOKUP($A155,'2022-2023'!$B$4:$B$23,'2022-2023'!AG$4:AG$23)</f>
        <v>21.55</v>
      </c>
      <c r="AG155">
        <f>_xlfn.XLOOKUP($A155,'2022-2023'!$B$4:$B$23,'2022-2023'!AH$4:AH$23)</f>
        <v>13</v>
      </c>
      <c r="AH155">
        <f>_xlfn.XLOOKUP($A155,'2022-2023'!$B$4:$B$23,'2022-2023'!AI$4:AI$23)</f>
        <v>13</v>
      </c>
      <c r="AI155">
        <f>_xlfn.XLOOKUP($A155,'2022-2023'!$B$4:$B$23,'2022-2023'!AJ$4:AJ$23)</f>
        <v>465.75</v>
      </c>
      <c r="AJ155">
        <f>_xlfn.XLOOKUP($A155,'2022-2023'!$B$4:$B$23,'2022-2023'!AK$4:AK$23)</f>
        <v>44</v>
      </c>
      <c r="AK155">
        <f>_xlfn.XLOOKUP($A155,'2022-2023'!$B$4:$B$23,'2022-2023'!AL$4:AL$23)</f>
        <v>10.585227272727273</v>
      </c>
      <c r="AL155">
        <f>_xlfn.XLOOKUP($A155,'2022-2023'!$B$4:$B$23,'2022-2023'!AM$4:AM$23)</f>
        <v>62462</v>
      </c>
      <c r="AM155">
        <f>_xlfn.XLOOKUP($A155,'2022-2023'!$B$4:$B$23,'2022-2023'!AN$4:AN$23)</f>
        <v>0.18</v>
      </c>
      <c r="AN155">
        <f>_xlfn.XLOOKUP($A155,'2022-2023'!$B$4:$B$23,'2022-2023'!AO$4:AO$23)</f>
        <v>1</v>
      </c>
      <c r="AO155">
        <f>_xlfn.XLOOKUP($A155,'2022-2023'!$B$4:$B$23,'2022-2023'!AP$4:AP$23)</f>
        <v>0</v>
      </c>
      <c r="AP155">
        <f>_xlfn.XLOOKUP($A155,'2022-2023'!$B$4:$B$23,'2022-2023'!AQ$4:AQ$23)</f>
        <v>0</v>
      </c>
      <c r="AQ155">
        <f>_xlfn.XLOOKUP($A155,'2022-2023'!$B$4:$B$23,'2022-2023'!AR$4:AR$23)</f>
        <v>0</v>
      </c>
      <c r="AR155">
        <f>_xlfn.XLOOKUP($A155,'2022-2023'!$B$4:$B$23,'2022-2023'!AS$4:AS$23)</f>
        <v>0</v>
      </c>
      <c r="AS155" t="str">
        <f>_xlfn.XLOOKUP($A155,'2022-2023'!$B$4:$B$23,'2022-2023'!AT$4:AT$23)</f>
        <v>22/23</v>
      </c>
    </row>
    <row r="156" spans="1:45" x14ac:dyDescent="0.25">
      <c r="A156">
        <v>15</v>
      </c>
      <c r="B156" t="str">
        <f>_xlfn.XLOOKUP($A156,'2022-2023'!$B$4:$B$23,'2022-2023'!C$4:C$23)</f>
        <v>Bournemouth</v>
      </c>
      <c r="C156">
        <f>_xlfn.XLOOKUP($A156,'2022-2023'!$B$4:$B$23,'2022-2023'!D$4:D$23)</f>
        <v>37</v>
      </c>
      <c r="D156">
        <f>_xlfn.XLOOKUP($A156,'2022-2023'!$B$4:$B$23,'2022-2023'!E$4:E$23)</f>
        <v>71</v>
      </c>
      <c r="E156">
        <f>_xlfn.XLOOKUP($A156,'2022-2023'!$B$4:$B$23,'2022-2023'!F$4:F$23)</f>
        <v>-34</v>
      </c>
      <c r="F156">
        <f>_xlfn.XLOOKUP($A156,'2022-2023'!$B$4:$B$23,'2022-2023'!G$4:G$23)</f>
        <v>8</v>
      </c>
      <c r="G156">
        <f>_xlfn.XLOOKUP($A156,'2022-2023'!$B$4:$B$23,'2022-2023'!H$4:H$23)</f>
        <v>68</v>
      </c>
      <c r="H156">
        <f>_xlfn.XLOOKUP($A156,'2022-2023'!$B$4:$B$23,'2022-2023'!I$4:I$23)</f>
        <v>0</v>
      </c>
      <c r="I156">
        <f>_xlfn.XLOOKUP($A156,'2022-2023'!$B$4:$B$23,'2022-2023'!J$4:J$23)</f>
        <v>38.6</v>
      </c>
      <c r="J156">
        <f>_xlfn.XLOOKUP($A156,'2022-2023'!$B$4:$B$23,'2022-2023'!K$4:K$23)</f>
        <v>63.9</v>
      </c>
      <c r="K156">
        <f>_xlfn.XLOOKUP($A156,'2022-2023'!$B$4:$B$23,'2022-2023'!L$4:L$23)</f>
        <v>-1.6000000000000014</v>
      </c>
      <c r="L156">
        <f>_xlfn.XLOOKUP($A156,'2022-2023'!$B$4:$B$23,'2022-2023'!M$4:M$23)</f>
        <v>358</v>
      </c>
      <c r="M156">
        <f>_xlfn.XLOOKUP($A156,'2022-2023'!$B$4:$B$23,'2022-2023'!N$4:N$23)</f>
        <v>126</v>
      </c>
      <c r="N156">
        <f>_xlfn.XLOOKUP($A156,'2022-2023'!$B$4:$B$23,'2022-2023'!O$4:O$23)</f>
        <v>0</v>
      </c>
      <c r="O156">
        <f>_xlfn.XLOOKUP($A156,'2022-2023'!$B$4:$B$23,'2022-2023'!P$4:P$23)</f>
        <v>5</v>
      </c>
      <c r="P156">
        <f>_xlfn.XLOOKUP($A156,'2022-2023'!$B$4:$B$23,'2022-2023'!Q$4:Q$23)</f>
        <v>34</v>
      </c>
      <c r="Q156">
        <f>_xlfn.XLOOKUP($A156,'2022-2023'!$B$4:$B$23,'2022-2023'!R$4:R$23)</f>
        <v>3</v>
      </c>
      <c r="R156">
        <f>_xlfn.XLOOKUP($A156,'2022-2023'!$B$4:$B$23,'2022-2023'!S$4:S$23)</f>
        <v>1</v>
      </c>
      <c r="S156">
        <f>_xlfn.XLOOKUP($A156,'2022-2023'!$B$4:$B$23,'2022-2023'!T$4:T$23)</f>
        <v>38</v>
      </c>
      <c r="T156">
        <f>_xlfn.XLOOKUP($A156,'2022-2023'!$B$4:$B$23,'2022-2023'!U$4:U$23)</f>
        <v>3</v>
      </c>
      <c r="U156">
        <f>_xlfn.XLOOKUP($A156,'2022-2023'!$B$4:$B$23,'2022-2023'!V$4:V$23)</f>
        <v>7</v>
      </c>
      <c r="V156">
        <f>_xlfn.XLOOKUP($A156,'2022-2023'!$B$4:$B$23,'2022-2023'!W$4:W$23)</f>
        <v>136</v>
      </c>
      <c r="W156">
        <f>_xlfn.XLOOKUP($A156,'2022-2023'!$B$4:$B$23,'2022-2023'!X$4:X$23)</f>
        <v>971</v>
      </c>
      <c r="X156">
        <f>_xlfn.XLOOKUP($A156,'2022-2023'!$B$4:$B$23,'2022-2023'!Y$4:Y$23)</f>
        <v>371</v>
      </c>
      <c r="Y156">
        <f>_xlfn.XLOOKUP($A156,'2022-2023'!$B$4:$B$23,'2022-2023'!Z$4:Z$23)</f>
        <v>391</v>
      </c>
      <c r="Z156">
        <f>_xlfn.XLOOKUP($A156,'2022-2023'!$B$4:$B$23,'2022-2023'!AA$4:AA$23)</f>
        <v>13931</v>
      </c>
      <c r="AA156">
        <f>_xlfn.XLOOKUP($A156,'2022-2023'!$B$4:$B$23,'2022-2023'!AB$4:AB$23)</f>
        <v>49</v>
      </c>
      <c r="AB156">
        <f>_xlfn.XLOOKUP($A156,'2022-2023'!$B$4:$B$23,'2022-2023'!AC$4:AC$23)</f>
        <v>2147</v>
      </c>
      <c r="AC156">
        <f>_xlfn.XLOOKUP($A156,'2022-2023'!$B$4:$B$23,'2022-2023'!AD$4:AD$23)</f>
        <v>509</v>
      </c>
      <c r="AD156">
        <f>_xlfn.XLOOKUP($A156,'2022-2023'!$B$4:$B$23,'2022-2023'!AE$4:AE$23)</f>
        <v>144</v>
      </c>
      <c r="AE156">
        <f>_xlfn.XLOOKUP($A156,'2022-2023'!$B$4:$B$23,'2022-2023'!AF$4:AF$23)</f>
        <v>83.1</v>
      </c>
      <c r="AF156">
        <f>_xlfn.XLOOKUP($A156,'2022-2023'!$B$4:$B$23,'2022-2023'!AG$4:AG$23)</f>
        <v>0</v>
      </c>
      <c r="AG156">
        <f>_xlfn.XLOOKUP($A156,'2022-2023'!$B$4:$B$23,'2022-2023'!AH$4:AH$23)</f>
        <v>17</v>
      </c>
      <c r="AH156">
        <f>_xlfn.XLOOKUP($A156,'2022-2023'!$B$4:$B$23,'2022-2023'!AI$4:AI$23)</f>
        <v>13</v>
      </c>
      <c r="AI156">
        <f>_xlfn.XLOOKUP($A156,'2022-2023'!$B$4:$B$23,'2022-2023'!AJ$4:AJ$23)</f>
        <v>287.2</v>
      </c>
      <c r="AJ156">
        <f>_xlfn.XLOOKUP($A156,'2022-2023'!$B$4:$B$23,'2022-2023'!AK$4:AK$23)</f>
        <v>47</v>
      </c>
      <c r="AK156">
        <f>_xlfn.XLOOKUP($A156,'2022-2023'!$B$4:$B$23,'2022-2023'!AL$4:AL$23)</f>
        <v>6.1106382978723399</v>
      </c>
      <c r="AL156">
        <f>_xlfn.XLOOKUP($A156,'2022-2023'!$B$4:$B$23,'2022-2023'!AM$4:AM$23)</f>
        <v>10362</v>
      </c>
      <c r="AM156">
        <f>_xlfn.XLOOKUP($A156,'2022-2023'!$B$4:$B$23,'2022-2023'!AN$4:AN$23)</f>
        <v>0.15</v>
      </c>
      <c r="AN156">
        <f>_xlfn.XLOOKUP($A156,'2022-2023'!$B$4:$B$23,'2022-2023'!AO$4:AO$23)</f>
        <v>0</v>
      </c>
      <c r="AO156">
        <f>_xlfn.XLOOKUP($A156,'2022-2023'!$B$4:$B$23,'2022-2023'!AP$4:AP$23)</f>
        <v>1</v>
      </c>
      <c r="AP156">
        <f>_xlfn.XLOOKUP($A156,'2022-2023'!$B$4:$B$23,'2022-2023'!AQ$4:AQ$23)</f>
        <v>0</v>
      </c>
      <c r="AQ156">
        <f>_xlfn.XLOOKUP($A156,'2022-2023'!$B$4:$B$23,'2022-2023'!AR$4:AR$23)</f>
        <v>0</v>
      </c>
      <c r="AR156">
        <f>_xlfn.XLOOKUP($A156,'2022-2023'!$B$4:$B$23,'2022-2023'!AS$4:AS$23)</f>
        <v>0</v>
      </c>
      <c r="AS156" t="str">
        <f>_xlfn.XLOOKUP($A156,'2022-2023'!$B$4:$B$23,'2022-2023'!AT$4:AT$23)</f>
        <v>22/23</v>
      </c>
    </row>
    <row r="157" spans="1:45" x14ac:dyDescent="0.25">
      <c r="A157">
        <v>16</v>
      </c>
      <c r="B157" t="str">
        <f>_xlfn.XLOOKUP($A157,'2022-2023'!$B$4:$B$23,'2022-2023'!C$4:C$23)</f>
        <v>Nott'ham Forest</v>
      </c>
      <c r="C157">
        <f>_xlfn.XLOOKUP($A157,'2022-2023'!$B$4:$B$23,'2022-2023'!D$4:D$23)</f>
        <v>38</v>
      </c>
      <c r="D157">
        <f>_xlfn.XLOOKUP($A157,'2022-2023'!$B$4:$B$23,'2022-2023'!E$4:E$23)</f>
        <v>68</v>
      </c>
      <c r="E157">
        <f>_xlfn.XLOOKUP($A157,'2022-2023'!$B$4:$B$23,'2022-2023'!F$4:F$23)</f>
        <v>-30</v>
      </c>
      <c r="F157">
        <f>_xlfn.XLOOKUP($A157,'2022-2023'!$B$4:$B$23,'2022-2023'!G$4:G$23)</f>
        <v>8</v>
      </c>
      <c r="G157">
        <f>_xlfn.XLOOKUP($A157,'2022-2023'!$B$4:$B$23,'2022-2023'!H$4:H$23)</f>
        <v>84</v>
      </c>
      <c r="H157">
        <f>_xlfn.XLOOKUP($A157,'2022-2023'!$B$4:$B$23,'2022-2023'!I$4:I$23)</f>
        <v>0</v>
      </c>
      <c r="I157">
        <f>_xlfn.XLOOKUP($A157,'2022-2023'!$B$4:$B$23,'2022-2023'!J$4:J$23)</f>
        <v>39.299999999999997</v>
      </c>
      <c r="J157">
        <f>_xlfn.XLOOKUP($A157,'2022-2023'!$B$4:$B$23,'2022-2023'!K$4:K$23)</f>
        <v>64.2</v>
      </c>
      <c r="K157">
        <f>_xlfn.XLOOKUP($A157,'2022-2023'!$B$4:$B$23,'2022-2023'!L$4:L$23)</f>
        <v>-1.2999999999999972</v>
      </c>
      <c r="L157">
        <f>_xlfn.XLOOKUP($A157,'2022-2023'!$B$4:$B$23,'2022-2023'!M$4:M$23)</f>
        <v>362</v>
      </c>
      <c r="M157">
        <f>_xlfn.XLOOKUP($A157,'2022-2023'!$B$4:$B$23,'2022-2023'!N$4:N$23)</f>
        <v>111</v>
      </c>
      <c r="N157">
        <f>_xlfn.XLOOKUP($A157,'2022-2023'!$B$4:$B$23,'2022-2023'!O$4:O$23)</f>
        <v>3</v>
      </c>
      <c r="O157">
        <f>_xlfn.XLOOKUP($A157,'2022-2023'!$B$4:$B$23,'2022-2023'!P$4:P$23)</f>
        <v>7</v>
      </c>
      <c r="P157">
        <f>_xlfn.XLOOKUP($A157,'2022-2023'!$B$4:$B$23,'2022-2023'!Q$4:Q$23)</f>
        <v>36</v>
      </c>
      <c r="Q157">
        <f>_xlfn.XLOOKUP($A157,'2022-2023'!$B$4:$B$23,'2022-2023'!R$4:R$23)</f>
        <v>2</v>
      </c>
      <c r="R157">
        <f>_xlfn.XLOOKUP($A157,'2022-2023'!$B$4:$B$23,'2022-2023'!S$4:S$23)</f>
        <v>3</v>
      </c>
      <c r="S157">
        <f>_xlfn.XLOOKUP($A157,'2022-2023'!$B$4:$B$23,'2022-2023'!T$4:T$23)</f>
        <v>67</v>
      </c>
      <c r="T157">
        <f>_xlfn.XLOOKUP($A157,'2022-2023'!$B$4:$B$23,'2022-2023'!U$4:U$23)</f>
        <v>0</v>
      </c>
      <c r="U157">
        <f>_xlfn.XLOOKUP($A157,'2022-2023'!$B$4:$B$23,'2022-2023'!V$4:V$23)</f>
        <v>9</v>
      </c>
      <c r="V157">
        <f>_xlfn.XLOOKUP($A157,'2022-2023'!$B$4:$B$23,'2022-2023'!W$4:W$23)</f>
        <v>112</v>
      </c>
      <c r="W157">
        <f>_xlfn.XLOOKUP($A157,'2022-2023'!$B$4:$B$23,'2022-2023'!X$4:X$23)</f>
        <v>892</v>
      </c>
      <c r="X157">
        <f>_xlfn.XLOOKUP($A157,'2022-2023'!$B$4:$B$23,'2022-2023'!Y$4:Y$23)</f>
        <v>387</v>
      </c>
      <c r="Y157">
        <f>_xlfn.XLOOKUP($A157,'2022-2023'!$B$4:$B$23,'2022-2023'!Z$4:Z$23)</f>
        <v>445</v>
      </c>
      <c r="Z157">
        <f>_xlfn.XLOOKUP($A157,'2022-2023'!$B$4:$B$23,'2022-2023'!AA$4:AA$23)</f>
        <v>12091</v>
      </c>
      <c r="AA157">
        <f>_xlfn.XLOOKUP($A157,'2022-2023'!$B$4:$B$23,'2022-2023'!AB$4:AB$23)</f>
        <v>31</v>
      </c>
      <c r="AB157">
        <f>_xlfn.XLOOKUP($A157,'2022-2023'!$B$4:$B$23,'2022-2023'!AC$4:AC$23)</f>
        <v>1763</v>
      </c>
      <c r="AC157">
        <f>_xlfn.XLOOKUP($A157,'2022-2023'!$B$4:$B$23,'2022-2023'!AD$4:AD$23)</f>
        <v>530</v>
      </c>
      <c r="AD157">
        <f>_xlfn.XLOOKUP($A157,'2022-2023'!$B$4:$B$23,'2022-2023'!AE$4:AE$23)</f>
        <v>128</v>
      </c>
      <c r="AE157">
        <f>_xlfn.XLOOKUP($A157,'2022-2023'!$B$4:$B$23,'2022-2023'!AF$4:AF$23)</f>
        <v>195.25</v>
      </c>
      <c r="AF157">
        <f>_xlfn.XLOOKUP($A157,'2022-2023'!$B$4:$B$23,'2022-2023'!AG$4:AG$23)</f>
        <v>5</v>
      </c>
      <c r="AG157">
        <f>_xlfn.XLOOKUP($A157,'2022-2023'!$B$4:$B$23,'2022-2023'!AH$4:AH$23)</f>
        <v>41</v>
      </c>
      <c r="AH157">
        <f>_xlfn.XLOOKUP($A157,'2022-2023'!$B$4:$B$23,'2022-2023'!AI$4:AI$23)</f>
        <v>26</v>
      </c>
      <c r="AI157">
        <f>_xlfn.XLOOKUP($A157,'2022-2023'!$B$4:$B$23,'2022-2023'!AJ$4:AJ$23)</f>
        <v>376.25</v>
      </c>
      <c r="AJ157">
        <f>_xlfn.XLOOKUP($A157,'2022-2023'!$B$4:$B$23,'2022-2023'!AK$4:AK$23)</f>
        <v>50</v>
      </c>
      <c r="AK157">
        <f>_xlfn.XLOOKUP($A157,'2022-2023'!$B$4:$B$23,'2022-2023'!AL$4:AL$23)</f>
        <v>7.5250000000000004</v>
      </c>
      <c r="AL157">
        <f>_xlfn.XLOOKUP($A157,'2022-2023'!$B$4:$B$23,'2022-2023'!AM$4:AM$23)</f>
        <v>29188</v>
      </c>
      <c r="AM157">
        <f>_xlfn.XLOOKUP($A157,'2022-2023'!$B$4:$B$23,'2022-2023'!AN$4:AN$23)</f>
        <v>0.06</v>
      </c>
      <c r="AN157">
        <f>_xlfn.XLOOKUP($A157,'2022-2023'!$B$4:$B$23,'2022-2023'!AO$4:AO$23)</f>
        <v>0</v>
      </c>
      <c r="AO157">
        <f>_xlfn.XLOOKUP($A157,'2022-2023'!$B$4:$B$23,'2022-2023'!AP$4:AP$23)</f>
        <v>1</v>
      </c>
      <c r="AP157">
        <f>_xlfn.XLOOKUP($A157,'2022-2023'!$B$4:$B$23,'2022-2023'!AQ$4:AQ$23)</f>
        <v>0</v>
      </c>
      <c r="AQ157">
        <f>_xlfn.XLOOKUP($A157,'2022-2023'!$B$4:$B$23,'2022-2023'!AR$4:AR$23)</f>
        <v>0</v>
      </c>
      <c r="AR157">
        <f>_xlfn.XLOOKUP($A157,'2022-2023'!$B$4:$B$23,'2022-2023'!AS$4:AS$23)</f>
        <v>0</v>
      </c>
      <c r="AS157" t="str">
        <f>_xlfn.XLOOKUP($A157,'2022-2023'!$B$4:$B$23,'2022-2023'!AT$4:AT$23)</f>
        <v>22/23</v>
      </c>
    </row>
    <row r="158" spans="1:45" x14ac:dyDescent="0.25">
      <c r="A158">
        <v>17</v>
      </c>
      <c r="B158" t="str">
        <f>_xlfn.XLOOKUP($A158,'2022-2023'!$B$4:$B$23,'2022-2023'!C$4:C$23)</f>
        <v>Everton</v>
      </c>
      <c r="C158">
        <f>_xlfn.XLOOKUP($A158,'2022-2023'!$B$4:$B$23,'2022-2023'!D$4:D$23)</f>
        <v>34</v>
      </c>
      <c r="D158">
        <f>_xlfn.XLOOKUP($A158,'2022-2023'!$B$4:$B$23,'2022-2023'!E$4:E$23)</f>
        <v>57</v>
      </c>
      <c r="E158">
        <f>_xlfn.XLOOKUP($A158,'2022-2023'!$B$4:$B$23,'2022-2023'!F$4:F$23)</f>
        <v>-23</v>
      </c>
      <c r="F158">
        <f>_xlfn.XLOOKUP($A158,'2022-2023'!$B$4:$B$23,'2022-2023'!G$4:G$23)</f>
        <v>9</v>
      </c>
      <c r="G158">
        <f>_xlfn.XLOOKUP($A158,'2022-2023'!$B$4:$B$23,'2022-2023'!H$4:H$23)</f>
        <v>81</v>
      </c>
      <c r="H158">
        <f>_xlfn.XLOOKUP($A158,'2022-2023'!$B$4:$B$23,'2022-2023'!I$4:I$23)</f>
        <v>2</v>
      </c>
      <c r="I158">
        <f>_xlfn.XLOOKUP($A158,'2022-2023'!$B$4:$B$23,'2022-2023'!J$4:J$23)</f>
        <v>45.2</v>
      </c>
      <c r="J158">
        <f>_xlfn.XLOOKUP($A158,'2022-2023'!$B$4:$B$23,'2022-2023'!K$4:K$23)</f>
        <v>65.7</v>
      </c>
      <c r="K158">
        <f>_xlfn.XLOOKUP($A158,'2022-2023'!$B$4:$B$23,'2022-2023'!L$4:L$23)</f>
        <v>-11.200000000000003</v>
      </c>
      <c r="L158">
        <f>_xlfn.XLOOKUP($A158,'2022-2023'!$B$4:$B$23,'2022-2023'!M$4:M$23)</f>
        <v>426</v>
      </c>
      <c r="M158">
        <f>_xlfn.XLOOKUP($A158,'2022-2023'!$B$4:$B$23,'2022-2023'!N$4:N$23)</f>
        <v>143</v>
      </c>
      <c r="N158">
        <f>_xlfn.XLOOKUP($A158,'2022-2023'!$B$4:$B$23,'2022-2023'!O$4:O$23)</f>
        <v>3</v>
      </c>
      <c r="O158">
        <f>_xlfn.XLOOKUP($A158,'2022-2023'!$B$4:$B$23,'2022-2023'!P$4:P$23)</f>
        <v>5</v>
      </c>
      <c r="P158">
        <f>_xlfn.XLOOKUP($A158,'2022-2023'!$B$4:$B$23,'2022-2023'!Q$4:Q$23)</f>
        <v>29</v>
      </c>
      <c r="Q158">
        <f>_xlfn.XLOOKUP($A158,'2022-2023'!$B$4:$B$23,'2022-2023'!R$4:R$23)</f>
        <v>6</v>
      </c>
      <c r="R158">
        <f>_xlfn.XLOOKUP($A158,'2022-2023'!$B$4:$B$23,'2022-2023'!S$4:S$23)</f>
        <v>4</v>
      </c>
      <c r="S158">
        <f>_xlfn.XLOOKUP($A158,'2022-2023'!$B$4:$B$23,'2022-2023'!T$4:T$23)</f>
        <v>64</v>
      </c>
      <c r="T158">
        <f>_xlfn.XLOOKUP($A158,'2022-2023'!$B$4:$B$23,'2022-2023'!U$4:U$23)</f>
        <v>0</v>
      </c>
      <c r="U158">
        <f>_xlfn.XLOOKUP($A158,'2022-2023'!$B$4:$B$23,'2022-2023'!V$4:V$23)</f>
        <v>6</v>
      </c>
      <c r="V158">
        <f>_xlfn.XLOOKUP($A158,'2022-2023'!$B$4:$B$23,'2022-2023'!W$4:W$23)</f>
        <v>127</v>
      </c>
      <c r="W158">
        <f>_xlfn.XLOOKUP($A158,'2022-2023'!$B$4:$B$23,'2022-2023'!X$4:X$23)</f>
        <v>829</v>
      </c>
      <c r="X158">
        <f>_xlfn.XLOOKUP($A158,'2022-2023'!$B$4:$B$23,'2022-2023'!Y$4:Y$23)</f>
        <v>424</v>
      </c>
      <c r="Y158">
        <f>_xlfn.XLOOKUP($A158,'2022-2023'!$B$4:$B$23,'2022-2023'!Z$4:Z$23)</f>
        <v>396</v>
      </c>
      <c r="Z158">
        <f>_xlfn.XLOOKUP($A158,'2022-2023'!$B$4:$B$23,'2022-2023'!AA$4:AA$23)</f>
        <v>14152</v>
      </c>
      <c r="AA158">
        <f>_xlfn.XLOOKUP($A158,'2022-2023'!$B$4:$B$23,'2022-2023'!AB$4:AB$23)</f>
        <v>39</v>
      </c>
      <c r="AB158">
        <f>_xlfn.XLOOKUP($A158,'2022-2023'!$B$4:$B$23,'2022-2023'!AC$4:AC$23)</f>
        <v>2195</v>
      </c>
      <c r="AC158">
        <f>_xlfn.XLOOKUP($A158,'2022-2023'!$B$4:$B$23,'2022-2023'!AD$4:AD$23)</f>
        <v>704</v>
      </c>
      <c r="AD158">
        <f>_xlfn.XLOOKUP($A158,'2022-2023'!$B$4:$B$23,'2022-2023'!AE$4:AE$23)</f>
        <v>175</v>
      </c>
      <c r="AE158">
        <f>_xlfn.XLOOKUP($A158,'2022-2023'!$B$4:$B$23,'2022-2023'!AF$4:AF$23)</f>
        <v>78.2</v>
      </c>
      <c r="AF158">
        <f>_xlfn.XLOOKUP($A158,'2022-2023'!$B$4:$B$23,'2022-2023'!AG$4:AG$23)</f>
        <v>103.6</v>
      </c>
      <c r="AG158">
        <f>_xlfn.XLOOKUP($A158,'2022-2023'!$B$4:$B$23,'2022-2023'!AH$4:AH$23)</f>
        <v>15</v>
      </c>
      <c r="AH158">
        <f>_xlfn.XLOOKUP($A158,'2022-2023'!$B$4:$B$23,'2022-2023'!AI$4:AI$23)</f>
        <v>18</v>
      </c>
      <c r="AI158">
        <f>_xlfn.XLOOKUP($A158,'2022-2023'!$B$4:$B$23,'2022-2023'!AJ$4:AJ$23)</f>
        <v>413.15</v>
      </c>
      <c r="AJ158">
        <f>_xlfn.XLOOKUP($A158,'2022-2023'!$B$4:$B$23,'2022-2023'!AK$4:AK$23)</f>
        <v>40</v>
      </c>
      <c r="AK158">
        <f>_xlfn.XLOOKUP($A158,'2022-2023'!$B$4:$B$23,'2022-2023'!AL$4:AL$23)</f>
        <v>10.328749999999999</v>
      </c>
      <c r="AL158">
        <f>_xlfn.XLOOKUP($A158,'2022-2023'!$B$4:$B$23,'2022-2023'!AM$4:AM$23)</f>
        <v>39243</v>
      </c>
      <c r="AM158">
        <f>_xlfn.XLOOKUP($A158,'2022-2023'!$B$4:$B$23,'2022-2023'!AN$4:AN$23)</f>
        <v>-0.01</v>
      </c>
      <c r="AN158">
        <f>_xlfn.XLOOKUP($A158,'2022-2023'!$B$4:$B$23,'2022-2023'!AO$4:AO$23)</f>
        <v>0</v>
      </c>
      <c r="AO158">
        <f>_xlfn.XLOOKUP($A158,'2022-2023'!$B$4:$B$23,'2022-2023'!AP$4:AP$23)</f>
        <v>0</v>
      </c>
      <c r="AP158">
        <f>_xlfn.XLOOKUP($A158,'2022-2023'!$B$4:$B$23,'2022-2023'!AQ$4:AQ$23)</f>
        <v>0</v>
      </c>
      <c r="AQ158">
        <f>_xlfn.XLOOKUP($A158,'2022-2023'!$B$4:$B$23,'2022-2023'!AR$4:AR$23)</f>
        <v>0</v>
      </c>
      <c r="AR158">
        <f>_xlfn.XLOOKUP($A158,'2022-2023'!$B$4:$B$23,'2022-2023'!AS$4:AS$23)</f>
        <v>0</v>
      </c>
      <c r="AS158" t="str">
        <f>_xlfn.XLOOKUP($A158,'2022-2023'!$B$4:$B$23,'2022-2023'!AT$4:AT$23)</f>
        <v>22/23</v>
      </c>
    </row>
    <row r="159" spans="1:45" x14ac:dyDescent="0.25">
      <c r="A159">
        <v>18</v>
      </c>
      <c r="B159" t="str">
        <f>_xlfn.XLOOKUP($A159,'2022-2023'!$B$4:$B$23,'2022-2023'!C$4:C$23)</f>
        <v>Leicester City</v>
      </c>
      <c r="C159">
        <f>_xlfn.XLOOKUP($A159,'2022-2023'!$B$4:$B$23,'2022-2023'!D$4:D$23)</f>
        <v>51</v>
      </c>
      <c r="D159">
        <f>_xlfn.XLOOKUP($A159,'2022-2023'!$B$4:$B$23,'2022-2023'!E$4:E$23)</f>
        <v>68</v>
      </c>
      <c r="E159">
        <f>_xlfn.XLOOKUP($A159,'2022-2023'!$B$4:$B$23,'2022-2023'!F$4:F$23)</f>
        <v>-17</v>
      </c>
      <c r="F159">
        <f>_xlfn.XLOOKUP($A159,'2022-2023'!$B$4:$B$23,'2022-2023'!G$4:G$23)</f>
        <v>7</v>
      </c>
      <c r="G159">
        <f>_xlfn.XLOOKUP($A159,'2022-2023'!$B$4:$B$23,'2022-2023'!H$4:H$23)</f>
        <v>63</v>
      </c>
      <c r="H159">
        <f>_xlfn.XLOOKUP($A159,'2022-2023'!$B$4:$B$23,'2022-2023'!I$4:I$23)</f>
        <v>2</v>
      </c>
      <c r="I159">
        <f>_xlfn.XLOOKUP($A159,'2022-2023'!$B$4:$B$23,'2022-2023'!J$4:J$23)</f>
        <v>50.6</v>
      </c>
      <c r="J159">
        <f>_xlfn.XLOOKUP($A159,'2022-2023'!$B$4:$B$23,'2022-2023'!K$4:K$23)</f>
        <v>63.4</v>
      </c>
      <c r="K159">
        <f>_xlfn.XLOOKUP($A159,'2022-2023'!$B$4:$B$23,'2022-2023'!L$4:L$23)</f>
        <v>0.39999999999999858</v>
      </c>
      <c r="L159">
        <f>_xlfn.XLOOKUP($A159,'2022-2023'!$B$4:$B$23,'2022-2023'!M$4:M$23)</f>
        <v>412</v>
      </c>
      <c r="M159">
        <f>_xlfn.XLOOKUP($A159,'2022-2023'!$B$4:$B$23,'2022-2023'!N$4:N$23)</f>
        <v>142</v>
      </c>
      <c r="N159">
        <f>_xlfn.XLOOKUP($A159,'2022-2023'!$B$4:$B$23,'2022-2023'!O$4:O$23)</f>
        <v>3</v>
      </c>
      <c r="O159">
        <f>_xlfn.XLOOKUP($A159,'2022-2023'!$B$4:$B$23,'2022-2023'!P$4:P$23)</f>
        <v>3</v>
      </c>
      <c r="P159">
        <f>_xlfn.XLOOKUP($A159,'2022-2023'!$B$4:$B$23,'2022-2023'!Q$4:Q$23)</f>
        <v>40</v>
      </c>
      <c r="Q159">
        <f>_xlfn.XLOOKUP($A159,'2022-2023'!$B$4:$B$23,'2022-2023'!R$4:R$23)</f>
        <v>11</v>
      </c>
      <c r="R159">
        <f>_xlfn.XLOOKUP($A159,'2022-2023'!$B$4:$B$23,'2022-2023'!S$4:S$23)</f>
        <v>4</v>
      </c>
      <c r="S159">
        <f>_xlfn.XLOOKUP($A159,'2022-2023'!$B$4:$B$23,'2022-2023'!T$4:T$23)</f>
        <v>83</v>
      </c>
      <c r="T159">
        <f>_xlfn.XLOOKUP($A159,'2022-2023'!$B$4:$B$23,'2022-2023'!U$4:U$23)</f>
        <v>5</v>
      </c>
      <c r="U159">
        <f>_xlfn.XLOOKUP($A159,'2022-2023'!$B$4:$B$23,'2022-2023'!V$4:V$23)</f>
        <v>5</v>
      </c>
      <c r="V159">
        <f>_xlfn.XLOOKUP($A159,'2022-2023'!$B$4:$B$23,'2022-2023'!W$4:W$23)</f>
        <v>113</v>
      </c>
      <c r="W159">
        <f>_xlfn.XLOOKUP($A159,'2022-2023'!$B$4:$B$23,'2022-2023'!X$4:X$23)</f>
        <v>723</v>
      </c>
      <c r="X159">
        <f>_xlfn.XLOOKUP($A159,'2022-2023'!$B$4:$B$23,'2022-2023'!Y$4:Y$23)</f>
        <v>412</v>
      </c>
      <c r="Y159">
        <f>_xlfn.XLOOKUP($A159,'2022-2023'!$B$4:$B$23,'2022-2023'!Z$4:Z$23)</f>
        <v>410</v>
      </c>
      <c r="Z159">
        <f>_xlfn.XLOOKUP($A159,'2022-2023'!$B$4:$B$23,'2022-2023'!AA$4:AA$23)</f>
        <v>17365</v>
      </c>
      <c r="AA159">
        <f>_xlfn.XLOOKUP($A159,'2022-2023'!$B$4:$B$23,'2022-2023'!AB$4:AB$23)</f>
        <v>76</v>
      </c>
      <c r="AB159">
        <f>_xlfn.XLOOKUP($A159,'2022-2023'!$B$4:$B$23,'2022-2023'!AC$4:AC$23)</f>
        <v>2552</v>
      </c>
      <c r="AC159">
        <f>_xlfn.XLOOKUP($A159,'2022-2023'!$B$4:$B$23,'2022-2023'!AD$4:AD$23)</f>
        <v>496</v>
      </c>
      <c r="AD159">
        <f>_xlfn.XLOOKUP($A159,'2022-2023'!$B$4:$B$23,'2022-2023'!AE$4:AE$23)</f>
        <v>135</v>
      </c>
      <c r="AE159">
        <f>_xlfn.XLOOKUP($A159,'2022-2023'!$B$4:$B$23,'2022-2023'!AF$4:AF$23)</f>
        <v>48</v>
      </c>
      <c r="AF159">
        <f>_xlfn.XLOOKUP($A159,'2022-2023'!$B$4:$B$23,'2022-2023'!AG$4:AG$23)</f>
        <v>81.400000000000006</v>
      </c>
      <c r="AG159">
        <f>_xlfn.XLOOKUP($A159,'2022-2023'!$B$4:$B$23,'2022-2023'!AH$4:AH$23)</f>
        <v>10</v>
      </c>
      <c r="AH159">
        <f>_xlfn.XLOOKUP($A159,'2022-2023'!$B$4:$B$23,'2022-2023'!AI$4:AI$23)</f>
        <v>9</v>
      </c>
      <c r="AI159">
        <f>_xlfn.XLOOKUP($A159,'2022-2023'!$B$4:$B$23,'2022-2023'!AJ$4:AJ$23)</f>
        <v>490.8</v>
      </c>
      <c r="AJ159">
        <f>_xlfn.XLOOKUP($A159,'2022-2023'!$B$4:$B$23,'2022-2023'!AK$4:AK$23)</f>
        <v>38</v>
      </c>
      <c r="AK159">
        <f>_xlfn.XLOOKUP($A159,'2022-2023'!$B$4:$B$23,'2022-2023'!AL$4:AL$23)</f>
        <v>12.91578947368421</v>
      </c>
      <c r="AL159">
        <f>_xlfn.XLOOKUP($A159,'2022-2023'!$B$4:$B$23,'2022-2023'!AM$4:AM$23)</f>
        <v>31887</v>
      </c>
      <c r="AM159">
        <f>_xlfn.XLOOKUP($A159,'2022-2023'!$B$4:$B$23,'2022-2023'!AN$4:AN$23)</f>
        <v>0.06</v>
      </c>
      <c r="AN159">
        <f>_xlfn.XLOOKUP($A159,'2022-2023'!$B$4:$B$23,'2022-2023'!AO$4:AO$23)</f>
        <v>0</v>
      </c>
      <c r="AO159">
        <f>_xlfn.XLOOKUP($A159,'2022-2023'!$B$4:$B$23,'2022-2023'!AP$4:AP$23)</f>
        <v>0</v>
      </c>
      <c r="AP159">
        <f>_xlfn.XLOOKUP($A159,'2022-2023'!$B$4:$B$23,'2022-2023'!AQ$4:AQ$23)</f>
        <v>0</v>
      </c>
      <c r="AQ159">
        <f>_xlfn.XLOOKUP($A159,'2022-2023'!$B$4:$B$23,'2022-2023'!AR$4:AR$23)</f>
        <v>1</v>
      </c>
      <c r="AR159">
        <f>_xlfn.XLOOKUP($A159,'2022-2023'!$B$4:$B$23,'2022-2023'!AS$4:AS$23)</f>
        <v>0</v>
      </c>
      <c r="AS159" t="str">
        <f>_xlfn.XLOOKUP($A159,'2022-2023'!$B$4:$B$23,'2022-2023'!AT$4:AT$23)</f>
        <v>22/23</v>
      </c>
    </row>
    <row r="160" spans="1:45" x14ac:dyDescent="0.25">
      <c r="A160">
        <v>19</v>
      </c>
      <c r="B160" t="str">
        <f>_xlfn.XLOOKUP($A160,'2022-2023'!$B$4:$B$23,'2022-2023'!C$4:C$23)</f>
        <v>Leeds United</v>
      </c>
      <c r="C160">
        <f>_xlfn.XLOOKUP($A160,'2022-2023'!$B$4:$B$23,'2022-2023'!D$4:D$23)</f>
        <v>48</v>
      </c>
      <c r="D160">
        <f>_xlfn.XLOOKUP($A160,'2022-2023'!$B$4:$B$23,'2022-2023'!E$4:E$23)</f>
        <v>78</v>
      </c>
      <c r="E160">
        <f>_xlfn.XLOOKUP($A160,'2022-2023'!$B$4:$B$23,'2022-2023'!F$4:F$23)</f>
        <v>-30</v>
      </c>
      <c r="F160">
        <f>_xlfn.XLOOKUP($A160,'2022-2023'!$B$4:$B$23,'2022-2023'!G$4:G$23)</f>
        <v>5</v>
      </c>
      <c r="G160">
        <f>_xlfn.XLOOKUP($A160,'2022-2023'!$B$4:$B$23,'2022-2023'!H$4:H$23)</f>
        <v>89</v>
      </c>
      <c r="H160">
        <f>_xlfn.XLOOKUP($A160,'2022-2023'!$B$4:$B$23,'2022-2023'!I$4:I$23)</f>
        <v>3</v>
      </c>
      <c r="I160">
        <f>_xlfn.XLOOKUP($A160,'2022-2023'!$B$4:$B$23,'2022-2023'!J$4:J$23)</f>
        <v>47.4</v>
      </c>
      <c r="J160">
        <f>_xlfn.XLOOKUP($A160,'2022-2023'!$B$4:$B$23,'2022-2023'!K$4:K$23)</f>
        <v>67.2</v>
      </c>
      <c r="K160">
        <f>_xlfn.XLOOKUP($A160,'2022-2023'!$B$4:$B$23,'2022-2023'!L$4:L$23)</f>
        <v>0.60000000000000142</v>
      </c>
      <c r="L160">
        <f>_xlfn.XLOOKUP($A160,'2022-2023'!$B$4:$B$23,'2022-2023'!M$4:M$23)</f>
        <v>459</v>
      </c>
      <c r="M160">
        <f>_xlfn.XLOOKUP($A160,'2022-2023'!$B$4:$B$23,'2022-2023'!N$4:N$23)</f>
        <v>141</v>
      </c>
      <c r="N160">
        <f>_xlfn.XLOOKUP($A160,'2022-2023'!$B$4:$B$23,'2022-2023'!O$4:O$23)</f>
        <v>1</v>
      </c>
      <c r="O160">
        <f>_xlfn.XLOOKUP($A160,'2022-2023'!$B$4:$B$23,'2022-2023'!P$4:P$23)</f>
        <v>9</v>
      </c>
      <c r="P160">
        <f>_xlfn.XLOOKUP($A160,'2022-2023'!$B$4:$B$23,'2022-2023'!Q$4:Q$23)</f>
        <v>41</v>
      </c>
      <c r="Q160">
        <f>_xlfn.XLOOKUP($A160,'2022-2023'!$B$4:$B$23,'2022-2023'!R$4:R$23)</f>
        <v>7</v>
      </c>
      <c r="R160">
        <f>_xlfn.XLOOKUP($A160,'2022-2023'!$B$4:$B$23,'2022-2023'!S$4:S$23)</f>
        <v>2</v>
      </c>
      <c r="S160">
        <f>_xlfn.XLOOKUP($A160,'2022-2023'!$B$4:$B$23,'2022-2023'!T$4:T$23)</f>
        <v>60</v>
      </c>
      <c r="T160">
        <f>_xlfn.XLOOKUP($A160,'2022-2023'!$B$4:$B$23,'2022-2023'!U$4:U$23)</f>
        <v>1</v>
      </c>
      <c r="U160">
        <f>_xlfn.XLOOKUP($A160,'2022-2023'!$B$4:$B$23,'2022-2023'!V$4:V$23)</f>
        <v>6</v>
      </c>
      <c r="V160">
        <f>_xlfn.XLOOKUP($A160,'2022-2023'!$B$4:$B$23,'2022-2023'!W$4:W$23)</f>
        <v>108</v>
      </c>
      <c r="W160">
        <f>_xlfn.XLOOKUP($A160,'2022-2023'!$B$4:$B$23,'2022-2023'!X$4:X$23)</f>
        <v>709</v>
      </c>
      <c r="X160">
        <f>_xlfn.XLOOKUP($A160,'2022-2023'!$B$4:$B$23,'2022-2023'!Y$4:Y$23)</f>
        <v>480</v>
      </c>
      <c r="Y160">
        <f>_xlfn.XLOOKUP($A160,'2022-2023'!$B$4:$B$23,'2022-2023'!Z$4:Z$23)</f>
        <v>467</v>
      </c>
      <c r="Z160">
        <f>_xlfn.XLOOKUP($A160,'2022-2023'!$B$4:$B$23,'2022-2023'!AA$4:AA$23)</f>
        <v>15160</v>
      </c>
      <c r="AA160">
        <f>_xlfn.XLOOKUP($A160,'2022-2023'!$B$4:$B$23,'2022-2023'!AB$4:AB$23)</f>
        <v>41</v>
      </c>
      <c r="AB160">
        <f>_xlfn.XLOOKUP($A160,'2022-2023'!$B$4:$B$23,'2022-2023'!AC$4:AC$23)</f>
        <v>2230</v>
      </c>
      <c r="AC160">
        <f>_xlfn.XLOOKUP($A160,'2022-2023'!$B$4:$B$23,'2022-2023'!AD$4:AD$23)</f>
        <v>653</v>
      </c>
      <c r="AD160">
        <f>_xlfn.XLOOKUP($A160,'2022-2023'!$B$4:$B$23,'2022-2023'!AE$4:AE$23)</f>
        <v>199</v>
      </c>
      <c r="AE160">
        <f>_xlfn.XLOOKUP($A160,'2022-2023'!$B$4:$B$23,'2022-2023'!AF$4:AF$23)</f>
        <v>151.38999999999999</v>
      </c>
      <c r="AF160">
        <f>_xlfn.XLOOKUP($A160,'2022-2023'!$B$4:$B$23,'2022-2023'!AG$4:AG$23)</f>
        <v>114.5</v>
      </c>
      <c r="AG160">
        <f>_xlfn.XLOOKUP($A160,'2022-2023'!$B$4:$B$23,'2022-2023'!AH$4:AH$23)</f>
        <v>26</v>
      </c>
      <c r="AH160">
        <f>_xlfn.XLOOKUP($A160,'2022-2023'!$B$4:$B$23,'2022-2023'!AI$4:AI$23)</f>
        <v>20</v>
      </c>
      <c r="AI160">
        <f>_xlfn.XLOOKUP($A160,'2022-2023'!$B$4:$B$23,'2022-2023'!AJ$4:AJ$23)</f>
        <v>345.15</v>
      </c>
      <c r="AJ160">
        <f>_xlfn.XLOOKUP($A160,'2022-2023'!$B$4:$B$23,'2022-2023'!AK$4:AK$23)</f>
        <v>47</v>
      </c>
      <c r="AK160">
        <f>_xlfn.XLOOKUP($A160,'2022-2023'!$B$4:$B$23,'2022-2023'!AL$4:AL$23)</f>
        <v>7.3436170212765957</v>
      </c>
      <c r="AL160">
        <f>_xlfn.XLOOKUP($A160,'2022-2023'!$B$4:$B$23,'2022-2023'!AM$4:AM$23)</f>
        <v>36566</v>
      </c>
      <c r="AM160">
        <f>_xlfn.XLOOKUP($A160,'2022-2023'!$B$4:$B$23,'2022-2023'!AN$4:AN$23)</f>
        <v>7.0000000000000007E-2</v>
      </c>
      <c r="AN160">
        <f>_xlfn.XLOOKUP($A160,'2022-2023'!$B$4:$B$23,'2022-2023'!AO$4:AO$23)</f>
        <v>0</v>
      </c>
      <c r="AO160">
        <f>_xlfn.XLOOKUP($A160,'2022-2023'!$B$4:$B$23,'2022-2023'!AP$4:AP$23)</f>
        <v>0</v>
      </c>
      <c r="AP160">
        <f>_xlfn.XLOOKUP($A160,'2022-2023'!$B$4:$B$23,'2022-2023'!AQ$4:AQ$23)</f>
        <v>0</v>
      </c>
      <c r="AQ160">
        <f>_xlfn.XLOOKUP($A160,'2022-2023'!$B$4:$B$23,'2022-2023'!AR$4:AR$23)</f>
        <v>1</v>
      </c>
      <c r="AR160">
        <f>_xlfn.XLOOKUP($A160,'2022-2023'!$B$4:$B$23,'2022-2023'!AS$4:AS$23)</f>
        <v>0</v>
      </c>
      <c r="AS160" t="str">
        <f>_xlfn.XLOOKUP($A160,'2022-2023'!$B$4:$B$23,'2022-2023'!AT$4:AT$23)</f>
        <v>22/23</v>
      </c>
    </row>
    <row r="161" spans="1:45" x14ac:dyDescent="0.25">
      <c r="A161">
        <v>20</v>
      </c>
      <c r="B161" t="str">
        <f>_xlfn.XLOOKUP($A161,'2022-2023'!$B$4:$B$23,'2022-2023'!C$4:C$23)</f>
        <v>Southampton</v>
      </c>
      <c r="C161">
        <f>_xlfn.XLOOKUP($A161,'2022-2023'!$B$4:$B$23,'2022-2023'!D$4:D$23)</f>
        <v>36</v>
      </c>
      <c r="D161">
        <f>_xlfn.XLOOKUP($A161,'2022-2023'!$B$4:$B$23,'2022-2023'!E$4:E$23)</f>
        <v>73</v>
      </c>
      <c r="E161">
        <f>_xlfn.XLOOKUP($A161,'2022-2023'!$B$4:$B$23,'2022-2023'!F$4:F$23)</f>
        <v>-37</v>
      </c>
      <c r="F161">
        <f>_xlfn.XLOOKUP($A161,'2022-2023'!$B$4:$B$23,'2022-2023'!G$4:G$23)</f>
        <v>4</v>
      </c>
      <c r="G161">
        <f>_xlfn.XLOOKUP($A161,'2022-2023'!$B$4:$B$23,'2022-2023'!H$4:H$23)</f>
        <v>73</v>
      </c>
      <c r="H161">
        <f>_xlfn.XLOOKUP($A161,'2022-2023'!$B$4:$B$23,'2022-2023'!I$4:I$23)</f>
        <v>0</v>
      </c>
      <c r="I161">
        <f>_xlfn.XLOOKUP($A161,'2022-2023'!$B$4:$B$23,'2022-2023'!J$4:J$23)</f>
        <v>37.700000000000003</v>
      </c>
      <c r="J161">
        <f>_xlfn.XLOOKUP($A161,'2022-2023'!$B$4:$B$23,'2022-2023'!K$4:K$23)</f>
        <v>61</v>
      </c>
      <c r="K161">
        <f>_xlfn.XLOOKUP($A161,'2022-2023'!$B$4:$B$23,'2022-2023'!L$4:L$23)</f>
        <v>-1.7000000000000028</v>
      </c>
      <c r="L161">
        <f>_xlfn.XLOOKUP($A161,'2022-2023'!$B$4:$B$23,'2022-2023'!M$4:M$23)</f>
        <v>413</v>
      </c>
      <c r="M161">
        <f>_xlfn.XLOOKUP($A161,'2022-2023'!$B$4:$B$23,'2022-2023'!N$4:N$23)</f>
        <v>132</v>
      </c>
      <c r="N161">
        <f>_xlfn.XLOOKUP($A161,'2022-2023'!$B$4:$B$23,'2022-2023'!O$4:O$23)</f>
        <v>2</v>
      </c>
      <c r="O161">
        <f>_xlfn.XLOOKUP($A161,'2022-2023'!$B$4:$B$23,'2022-2023'!P$4:P$23)</f>
        <v>6</v>
      </c>
      <c r="P161">
        <f>_xlfn.XLOOKUP($A161,'2022-2023'!$B$4:$B$23,'2022-2023'!Q$4:Q$23)</f>
        <v>28</v>
      </c>
      <c r="Q161">
        <f>_xlfn.XLOOKUP($A161,'2022-2023'!$B$4:$B$23,'2022-2023'!R$4:R$23)</f>
        <v>8</v>
      </c>
      <c r="R161">
        <f>_xlfn.XLOOKUP($A161,'2022-2023'!$B$4:$B$23,'2022-2023'!S$4:S$23)</f>
        <v>5</v>
      </c>
      <c r="S161">
        <f>_xlfn.XLOOKUP($A161,'2022-2023'!$B$4:$B$23,'2022-2023'!T$4:T$23)</f>
        <v>57</v>
      </c>
      <c r="T161">
        <f>_xlfn.XLOOKUP($A161,'2022-2023'!$B$4:$B$23,'2022-2023'!U$4:U$23)</f>
        <v>5</v>
      </c>
      <c r="U161">
        <f>_xlfn.XLOOKUP($A161,'2022-2023'!$B$4:$B$23,'2022-2023'!V$4:V$23)</f>
        <v>3</v>
      </c>
      <c r="V161">
        <f>_xlfn.XLOOKUP($A161,'2022-2023'!$B$4:$B$23,'2022-2023'!W$4:W$23)</f>
        <v>81</v>
      </c>
      <c r="W161">
        <f>_xlfn.XLOOKUP($A161,'2022-2023'!$B$4:$B$23,'2022-2023'!X$4:X$23)</f>
        <v>826</v>
      </c>
      <c r="X161">
        <f>_xlfn.XLOOKUP($A161,'2022-2023'!$B$4:$B$23,'2022-2023'!Y$4:Y$23)</f>
        <v>426</v>
      </c>
      <c r="Y161">
        <f>_xlfn.XLOOKUP($A161,'2022-2023'!$B$4:$B$23,'2022-2023'!Z$4:Z$23)</f>
        <v>430</v>
      </c>
      <c r="Z161">
        <f>_xlfn.XLOOKUP($A161,'2022-2023'!$B$4:$B$23,'2022-2023'!AA$4:AA$23)</f>
        <v>14796</v>
      </c>
      <c r="AA161">
        <f>_xlfn.XLOOKUP($A161,'2022-2023'!$B$4:$B$23,'2022-2023'!AB$4:AB$23)</f>
        <v>38</v>
      </c>
      <c r="AB161">
        <f>_xlfn.XLOOKUP($A161,'2022-2023'!$B$4:$B$23,'2022-2023'!AC$4:AC$23)</f>
        <v>2481</v>
      </c>
      <c r="AC161">
        <f>_xlfn.XLOOKUP($A161,'2022-2023'!$B$4:$B$23,'2022-2023'!AD$4:AD$23)</f>
        <v>613</v>
      </c>
      <c r="AD161">
        <f>_xlfn.XLOOKUP($A161,'2022-2023'!$B$4:$B$23,'2022-2023'!AE$4:AE$23)</f>
        <v>157</v>
      </c>
      <c r="AE161">
        <f>_xlfn.XLOOKUP($A161,'2022-2023'!$B$4:$B$23,'2022-2023'!AF$4:AF$23)</f>
        <v>152.11000000000001</v>
      </c>
      <c r="AF161">
        <f>_xlfn.XLOOKUP($A161,'2022-2023'!$B$4:$B$23,'2022-2023'!AG$4:AG$23)</f>
        <v>5.5</v>
      </c>
      <c r="AG161">
        <f>_xlfn.XLOOKUP($A161,'2022-2023'!$B$4:$B$23,'2022-2023'!AH$4:AH$23)</f>
        <v>21</v>
      </c>
      <c r="AH161">
        <f>_xlfn.XLOOKUP($A161,'2022-2023'!$B$4:$B$23,'2022-2023'!AI$4:AI$23)</f>
        <v>14</v>
      </c>
      <c r="AI161">
        <f>_xlfn.XLOOKUP($A161,'2022-2023'!$B$4:$B$23,'2022-2023'!AJ$4:AJ$23)</f>
        <v>419.95</v>
      </c>
      <c r="AJ161">
        <f>_xlfn.XLOOKUP($A161,'2022-2023'!$B$4:$B$23,'2022-2023'!AK$4:AK$23)</f>
        <v>46</v>
      </c>
      <c r="AK161">
        <f>_xlfn.XLOOKUP($A161,'2022-2023'!$B$4:$B$23,'2022-2023'!AL$4:AL$23)</f>
        <v>9.1293478260869563</v>
      </c>
      <c r="AL161">
        <f>_xlfn.XLOOKUP($A161,'2022-2023'!$B$4:$B$23,'2022-2023'!AM$4:AM$23)</f>
        <v>30440</v>
      </c>
      <c r="AM161">
        <f>_xlfn.XLOOKUP($A161,'2022-2023'!$B$4:$B$23,'2022-2023'!AN$4:AN$23)</f>
        <v>0.02</v>
      </c>
      <c r="AN161">
        <f>_xlfn.XLOOKUP($A161,'2022-2023'!$B$4:$B$23,'2022-2023'!AO$4:AO$23)</f>
        <v>0</v>
      </c>
      <c r="AO161">
        <f>_xlfn.XLOOKUP($A161,'2022-2023'!$B$4:$B$23,'2022-2023'!AP$4:AP$23)</f>
        <v>0</v>
      </c>
      <c r="AP161">
        <f>_xlfn.XLOOKUP($A161,'2022-2023'!$B$4:$B$23,'2022-2023'!AQ$4:AQ$23)</f>
        <v>0</v>
      </c>
      <c r="AQ161">
        <f>_xlfn.XLOOKUP($A161,'2022-2023'!$B$4:$B$23,'2022-2023'!AR$4:AR$23)</f>
        <v>1</v>
      </c>
      <c r="AR161">
        <f>_xlfn.XLOOKUP($A161,'2022-2023'!$B$4:$B$23,'2022-2023'!AS$4:AS$23)</f>
        <v>0</v>
      </c>
      <c r="AS161" t="str">
        <f>_xlfn.XLOOKUP($A161,'2022-2023'!$B$4:$B$23,'2022-2023'!AT$4:AT$23)</f>
        <v>22/23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270F-D868-486B-90B3-8BC531FA343F}">
  <dimension ref="A1:AT181"/>
  <sheetViews>
    <sheetView tabSelected="1" workbookViewId="0">
      <pane xSplit="2" ySplit="1" topLeftCell="C137" activePane="bottomRight" state="frozen"/>
      <selection pane="topRight" activeCell="C1" sqref="C1"/>
      <selection pane="bottomLeft" activeCell="A2" sqref="A2"/>
      <selection pane="bottomRight" activeCell="AV166" sqref="AV166"/>
    </sheetView>
  </sheetViews>
  <sheetFormatPr baseColWidth="10" defaultColWidth="9" defaultRowHeight="15.75" x14ac:dyDescent="0.25"/>
  <cols>
    <col min="1" max="1" width="7.625" bestFit="1" customWidth="1"/>
    <col min="2" max="2" width="23.375" bestFit="1" customWidth="1"/>
    <col min="3" max="3" width="4" bestFit="1" customWidth="1"/>
    <col min="4" max="5" width="5.125" bestFit="1" customWidth="1"/>
    <col min="6" max="6" width="2.875" bestFit="1" customWidth="1"/>
    <col min="7" max="7" width="3.875" bestFit="1" customWidth="1"/>
    <col min="8" max="8" width="3" bestFit="1" customWidth="1"/>
    <col min="9" max="10" width="4.875" bestFit="1" customWidth="1"/>
    <col min="11" max="11" width="6.125" bestFit="1" customWidth="1"/>
    <col min="12" max="12" width="4.875" bestFit="1" customWidth="1"/>
    <col min="13" max="13" width="8.75" bestFit="1" customWidth="1"/>
    <col min="14" max="14" width="10.375" bestFit="1" customWidth="1"/>
    <col min="15" max="15" width="11.75" bestFit="1" customWidth="1"/>
    <col min="16" max="16" width="10.25" bestFit="1" customWidth="1"/>
    <col min="17" max="17" width="9.25" bestFit="1" customWidth="1"/>
    <col min="18" max="18" width="13.5" bestFit="1" customWidth="1"/>
    <col min="19" max="19" width="13" bestFit="1" customWidth="1"/>
    <col min="21" max="21" width="16.625" bestFit="1" customWidth="1"/>
    <col min="22" max="22" width="7.375" bestFit="1" customWidth="1"/>
    <col min="23" max="23" width="8.375" bestFit="1" customWidth="1"/>
    <col min="24" max="24" width="7.625" bestFit="1" customWidth="1"/>
    <col min="25" max="25" width="5.75" bestFit="1" customWidth="1"/>
    <col min="26" max="26" width="14.25" bestFit="1" customWidth="1"/>
    <col min="27" max="27" width="12.625" bestFit="1" customWidth="1"/>
    <col min="28" max="28" width="14.5" bestFit="1" customWidth="1"/>
    <col min="29" max="30" width="7.125" bestFit="1" customWidth="1"/>
    <col min="31" max="31" width="41.375" bestFit="1" customWidth="1"/>
    <col min="32" max="32" width="43.375" bestFit="1" customWidth="1"/>
    <col min="33" max="33" width="15" bestFit="1" customWidth="1"/>
    <col min="34" max="34" width="16.625" bestFit="1" customWidth="1"/>
    <col min="35" max="35" width="11.75" bestFit="1" customWidth="1"/>
    <col min="36" max="36" width="17.75" bestFit="1" customWidth="1"/>
    <col min="37" max="37" width="21.125" bestFit="1" customWidth="1"/>
    <col min="38" max="38" width="24.75" bestFit="1" customWidth="1"/>
    <col min="39" max="39" width="11.375" bestFit="1" customWidth="1"/>
    <col min="40" max="40" width="20" bestFit="1" customWidth="1"/>
    <col min="41" max="41" width="14.75" bestFit="1" customWidth="1"/>
    <col min="42" max="42" width="9.875" bestFit="1" customWidth="1"/>
    <col min="43" max="43" width="8.75" bestFit="1" customWidth="1"/>
    <col min="44" max="44" width="4.5" bestFit="1" customWidth="1"/>
    <col min="45" max="45" width="10" bestFit="1" customWidth="1"/>
    <col min="46" max="46" width="4.5" bestFit="1" customWidth="1"/>
  </cols>
  <sheetData>
    <row r="1" spans="1:46" x14ac:dyDescent="0.25">
      <c r="A1" t="s">
        <v>107</v>
      </c>
      <c r="B1" t="s">
        <v>24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55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61</v>
      </c>
      <c r="U1" t="s">
        <v>124</v>
      </c>
      <c r="V1" t="s">
        <v>64</v>
      </c>
      <c r="W1" t="s">
        <v>65</v>
      </c>
      <c r="X1" t="s">
        <v>66</v>
      </c>
      <c r="Y1" t="s">
        <v>67</v>
      </c>
      <c r="Z1" t="s">
        <v>125</v>
      </c>
      <c r="AA1" t="s">
        <v>126</v>
      </c>
      <c r="AB1" t="s">
        <v>127</v>
      </c>
      <c r="AC1" t="s">
        <v>71</v>
      </c>
      <c r="AD1" t="s">
        <v>72</v>
      </c>
      <c r="AE1" t="s">
        <v>147</v>
      </c>
      <c r="AF1" t="s">
        <v>148</v>
      </c>
      <c r="AG1" t="s">
        <v>128</v>
      </c>
      <c r="AH1" t="s">
        <v>129</v>
      </c>
      <c r="AI1" t="s">
        <v>130</v>
      </c>
      <c r="AJ1" t="s">
        <v>131</v>
      </c>
      <c r="AK1" t="s">
        <v>132</v>
      </c>
      <c r="AL1" t="s">
        <v>133</v>
      </c>
      <c r="AM1" t="s">
        <v>134</v>
      </c>
      <c r="AN1" t="s">
        <v>135</v>
      </c>
      <c r="AO1" t="s">
        <v>136</v>
      </c>
      <c r="AP1" t="s">
        <v>104</v>
      </c>
      <c r="AQ1" t="s">
        <v>105</v>
      </c>
      <c r="AR1" t="s">
        <v>137</v>
      </c>
      <c r="AS1" t="s">
        <v>92</v>
      </c>
      <c r="AT1" t="s">
        <v>138</v>
      </c>
    </row>
    <row r="2" spans="1:46" x14ac:dyDescent="0.25">
      <c r="A2">
        <v>1</v>
      </c>
      <c r="B2" t="s">
        <v>7</v>
      </c>
      <c r="C2">
        <v>68</v>
      </c>
      <c r="D2">
        <v>36</v>
      </c>
      <c r="E2">
        <v>32</v>
      </c>
      <c r="F2">
        <v>15</v>
      </c>
      <c r="G2">
        <v>48</v>
      </c>
      <c r="H2">
        <v>3</v>
      </c>
      <c r="L2">
        <v>522</v>
      </c>
      <c r="M2">
        <v>179</v>
      </c>
      <c r="N2">
        <v>10</v>
      </c>
      <c r="O2">
        <v>11</v>
      </c>
      <c r="P2">
        <v>65</v>
      </c>
      <c r="Q2">
        <v>3</v>
      </c>
      <c r="R2">
        <v>6</v>
      </c>
      <c r="S2">
        <v>50</v>
      </c>
      <c r="T2">
        <v>0</v>
      </c>
      <c r="U2">
        <v>4</v>
      </c>
      <c r="V2">
        <v>99</v>
      </c>
      <c r="W2">
        <v>1040</v>
      </c>
      <c r="X2">
        <v>869</v>
      </c>
      <c r="Y2">
        <v>406</v>
      </c>
      <c r="Z2">
        <v>13370</v>
      </c>
      <c r="AA2">
        <v>54</v>
      </c>
      <c r="AB2">
        <v>1970</v>
      </c>
      <c r="AC2">
        <v>762</v>
      </c>
      <c r="AD2">
        <v>197</v>
      </c>
      <c r="AE2">
        <v>49.9</v>
      </c>
      <c r="AF2">
        <v>9.4499999999999993</v>
      </c>
      <c r="AG2">
        <v>25</v>
      </c>
      <c r="AH2">
        <v>32</v>
      </c>
      <c r="AI2">
        <v>161.1</v>
      </c>
      <c r="AJ2">
        <v>35</v>
      </c>
      <c r="AK2">
        <v>4.6028571428571423</v>
      </c>
      <c r="AL2">
        <v>31998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 t="s">
        <v>94</v>
      </c>
      <c r="AT2" t="s">
        <v>139</v>
      </c>
    </row>
    <row r="3" spans="1:46" x14ac:dyDescent="0.25">
      <c r="A3">
        <v>2</v>
      </c>
      <c r="B3" t="s">
        <v>6</v>
      </c>
      <c r="C3">
        <v>65</v>
      </c>
      <c r="D3">
        <v>36</v>
      </c>
      <c r="E3">
        <v>29</v>
      </c>
      <c r="F3">
        <v>18</v>
      </c>
      <c r="G3">
        <v>40</v>
      </c>
      <c r="H3">
        <v>4</v>
      </c>
      <c r="L3">
        <v>571</v>
      </c>
      <c r="M3">
        <v>211</v>
      </c>
      <c r="N3">
        <v>1</v>
      </c>
      <c r="O3">
        <v>13</v>
      </c>
      <c r="P3">
        <v>61</v>
      </c>
      <c r="Q3">
        <v>4</v>
      </c>
      <c r="R3">
        <v>3</v>
      </c>
      <c r="S3">
        <v>86</v>
      </c>
      <c r="T3">
        <v>3</v>
      </c>
      <c r="U3">
        <v>1</v>
      </c>
      <c r="V3">
        <v>118</v>
      </c>
      <c r="W3">
        <v>849</v>
      </c>
      <c r="X3">
        <v>709</v>
      </c>
      <c r="Y3">
        <v>348</v>
      </c>
      <c r="Z3">
        <v>21249</v>
      </c>
      <c r="AA3">
        <v>168</v>
      </c>
      <c r="AB3">
        <v>2946</v>
      </c>
      <c r="AC3">
        <v>754</v>
      </c>
      <c r="AD3">
        <v>227</v>
      </c>
      <c r="AE3">
        <v>26.5</v>
      </c>
      <c r="AF3">
        <v>2.5</v>
      </c>
      <c r="AG3">
        <v>15</v>
      </c>
      <c r="AH3">
        <v>12</v>
      </c>
      <c r="AI3">
        <v>457.85</v>
      </c>
      <c r="AJ3">
        <v>41</v>
      </c>
      <c r="AK3">
        <v>11.167073170731708</v>
      </c>
      <c r="AL3">
        <v>59944</v>
      </c>
      <c r="AM3">
        <v>0.17</v>
      </c>
      <c r="AN3">
        <v>1</v>
      </c>
      <c r="AO3">
        <v>0</v>
      </c>
      <c r="AP3">
        <v>1</v>
      </c>
      <c r="AQ3">
        <v>0</v>
      </c>
      <c r="AR3">
        <v>1</v>
      </c>
      <c r="AS3" t="s">
        <v>94</v>
      </c>
      <c r="AT3" t="s">
        <v>139</v>
      </c>
    </row>
    <row r="4" spans="1:46" x14ac:dyDescent="0.25">
      <c r="A4">
        <v>3</v>
      </c>
      <c r="B4" t="s">
        <v>3</v>
      </c>
      <c r="C4">
        <v>69</v>
      </c>
      <c r="D4">
        <v>35</v>
      </c>
      <c r="E4">
        <v>34</v>
      </c>
      <c r="F4">
        <v>13</v>
      </c>
      <c r="G4">
        <v>72</v>
      </c>
      <c r="H4">
        <v>1</v>
      </c>
      <c r="L4">
        <v>659</v>
      </c>
      <c r="M4">
        <v>252</v>
      </c>
      <c r="N4">
        <v>5</v>
      </c>
      <c r="O4">
        <v>7</v>
      </c>
      <c r="P4">
        <v>59</v>
      </c>
      <c r="Q4">
        <v>10</v>
      </c>
      <c r="R4">
        <v>3</v>
      </c>
      <c r="S4">
        <v>72</v>
      </c>
      <c r="T4">
        <v>3</v>
      </c>
      <c r="U4">
        <v>2</v>
      </c>
      <c r="V4">
        <v>89</v>
      </c>
      <c r="W4">
        <v>1046</v>
      </c>
      <c r="X4">
        <v>805</v>
      </c>
      <c r="Y4">
        <v>451</v>
      </c>
      <c r="Z4">
        <v>18649</v>
      </c>
      <c r="AA4">
        <v>64</v>
      </c>
      <c r="AB4">
        <v>2708</v>
      </c>
      <c r="AC4">
        <v>738</v>
      </c>
      <c r="AD4">
        <v>254</v>
      </c>
      <c r="AE4">
        <v>71</v>
      </c>
      <c r="AF4">
        <v>87.25</v>
      </c>
      <c r="AG4">
        <v>11</v>
      </c>
      <c r="AH4">
        <v>21</v>
      </c>
      <c r="AI4">
        <v>371.85</v>
      </c>
      <c r="AJ4">
        <v>31</v>
      </c>
      <c r="AK4">
        <v>11.995161290322581</v>
      </c>
      <c r="AL4">
        <v>35776</v>
      </c>
      <c r="AM4">
        <v>0.08</v>
      </c>
      <c r="AN4">
        <v>1</v>
      </c>
      <c r="AO4">
        <v>0</v>
      </c>
      <c r="AP4">
        <v>1</v>
      </c>
      <c r="AQ4">
        <v>0</v>
      </c>
      <c r="AR4">
        <v>1</v>
      </c>
      <c r="AS4" t="s">
        <v>94</v>
      </c>
      <c r="AT4" t="s">
        <v>139</v>
      </c>
    </row>
    <row r="5" spans="1:46" x14ac:dyDescent="0.25">
      <c r="A5">
        <v>4</v>
      </c>
      <c r="B5" t="s">
        <v>25</v>
      </c>
      <c r="C5">
        <v>71</v>
      </c>
      <c r="D5">
        <v>41</v>
      </c>
      <c r="E5">
        <v>30</v>
      </c>
      <c r="F5">
        <v>16</v>
      </c>
      <c r="G5">
        <v>61</v>
      </c>
      <c r="H5">
        <v>1</v>
      </c>
      <c r="L5">
        <v>615</v>
      </c>
      <c r="M5">
        <v>210</v>
      </c>
      <c r="N5">
        <v>5</v>
      </c>
      <c r="O5">
        <v>13</v>
      </c>
      <c r="P5">
        <v>57</v>
      </c>
      <c r="Q5">
        <v>14</v>
      </c>
      <c r="R5">
        <v>5</v>
      </c>
      <c r="S5">
        <v>63</v>
      </c>
      <c r="T5">
        <v>1</v>
      </c>
      <c r="U5">
        <v>1</v>
      </c>
      <c r="V5">
        <v>86</v>
      </c>
      <c r="W5">
        <v>940</v>
      </c>
      <c r="X5">
        <v>729</v>
      </c>
      <c r="Y5">
        <v>409</v>
      </c>
      <c r="Z5">
        <v>20488</v>
      </c>
      <c r="AA5">
        <v>84</v>
      </c>
      <c r="AB5">
        <v>2895</v>
      </c>
      <c r="AC5">
        <v>866</v>
      </c>
      <c r="AD5">
        <v>257</v>
      </c>
      <c r="AE5">
        <v>208.47</v>
      </c>
      <c r="AF5">
        <v>67.44</v>
      </c>
      <c r="AG5">
        <v>22</v>
      </c>
      <c r="AH5">
        <v>25</v>
      </c>
      <c r="AI5">
        <v>499.35</v>
      </c>
      <c r="AJ5">
        <v>38</v>
      </c>
      <c r="AK5">
        <v>13.140789473684212</v>
      </c>
      <c r="AL5">
        <v>54041</v>
      </c>
      <c r="AM5">
        <v>0.15</v>
      </c>
      <c r="AN5">
        <v>1</v>
      </c>
      <c r="AO5">
        <v>0</v>
      </c>
      <c r="AP5">
        <v>1</v>
      </c>
      <c r="AQ5">
        <v>0</v>
      </c>
      <c r="AR5">
        <v>1</v>
      </c>
      <c r="AS5" t="s">
        <v>94</v>
      </c>
      <c r="AT5" t="s">
        <v>139</v>
      </c>
    </row>
    <row r="6" spans="1:46" x14ac:dyDescent="0.25">
      <c r="A6">
        <v>5</v>
      </c>
      <c r="B6" t="s">
        <v>4</v>
      </c>
      <c r="C6">
        <v>49</v>
      </c>
      <c r="D6">
        <v>35</v>
      </c>
      <c r="E6">
        <v>14</v>
      </c>
      <c r="F6">
        <v>18</v>
      </c>
      <c r="G6">
        <v>65</v>
      </c>
      <c r="H6">
        <v>1</v>
      </c>
      <c r="L6">
        <v>430</v>
      </c>
      <c r="M6">
        <v>144</v>
      </c>
      <c r="N6">
        <v>3</v>
      </c>
      <c r="O6">
        <v>5</v>
      </c>
      <c r="P6">
        <v>44</v>
      </c>
      <c r="Q6">
        <v>5</v>
      </c>
      <c r="R6">
        <v>2</v>
      </c>
      <c r="S6">
        <v>75</v>
      </c>
      <c r="T6">
        <v>2</v>
      </c>
      <c r="U6">
        <v>2</v>
      </c>
      <c r="V6">
        <v>90</v>
      </c>
      <c r="W6">
        <v>755</v>
      </c>
      <c r="X6">
        <v>760</v>
      </c>
      <c r="Y6">
        <v>473</v>
      </c>
      <c r="Z6">
        <v>20070</v>
      </c>
      <c r="AA6">
        <v>43</v>
      </c>
      <c r="AB6">
        <v>3221</v>
      </c>
      <c r="AC6">
        <v>786</v>
      </c>
      <c r="AD6">
        <v>228</v>
      </c>
      <c r="AE6">
        <v>156</v>
      </c>
      <c r="AF6">
        <v>100.67</v>
      </c>
      <c r="AG6">
        <v>22</v>
      </c>
      <c r="AH6">
        <v>20</v>
      </c>
      <c r="AI6">
        <v>439.85</v>
      </c>
      <c r="AJ6">
        <v>44</v>
      </c>
      <c r="AK6">
        <v>9.9965909090909104</v>
      </c>
      <c r="AL6">
        <v>75286</v>
      </c>
      <c r="AM6">
        <v>0.3</v>
      </c>
      <c r="AN6">
        <v>1</v>
      </c>
      <c r="AO6">
        <v>0</v>
      </c>
      <c r="AP6">
        <v>0</v>
      </c>
      <c r="AQ6">
        <v>0</v>
      </c>
      <c r="AR6">
        <v>1</v>
      </c>
      <c r="AS6" t="s">
        <v>94</v>
      </c>
      <c r="AT6" t="s">
        <v>139</v>
      </c>
    </row>
    <row r="7" spans="1:46" x14ac:dyDescent="0.25">
      <c r="A7">
        <v>6</v>
      </c>
      <c r="B7" t="s">
        <v>11</v>
      </c>
      <c r="C7">
        <v>59</v>
      </c>
      <c r="D7">
        <v>41</v>
      </c>
      <c r="E7">
        <v>18</v>
      </c>
      <c r="F7">
        <v>12</v>
      </c>
      <c r="G7">
        <v>57</v>
      </c>
      <c r="H7">
        <v>6</v>
      </c>
      <c r="L7">
        <v>519</v>
      </c>
      <c r="M7">
        <v>166</v>
      </c>
      <c r="N7">
        <v>3</v>
      </c>
      <c r="O7">
        <v>15</v>
      </c>
      <c r="P7">
        <v>53</v>
      </c>
      <c r="Q7">
        <v>6</v>
      </c>
      <c r="R7">
        <v>3</v>
      </c>
      <c r="S7">
        <v>98</v>
      </c>
      <c r="T7">
        <v>0</v>
      </c>
      <c r="U7">
        <v>1</v>
      </c>
      <c r="V7">
        <v>94</v>
      </c>
      <c r="W7">
        <v>1101</v>
      </c>
      <c r="X7">
        <v>714</v>
      </c>
      <c r="Y7">
        <v>417</v>
      </c>
      <c r="Z7">
        <v>15913</v>
      </c>
      <c r="AA7">
        <v>46</v>
      </c>
      <c r="AB7">
        <v>2358</v>
      </c>
      <c r="AC7">
        <v>956</v>
      </c>
      <c r="AD7">
        <v>220</v>
      </c>
      <c r="AE7">
        <v>60.1</v>
      </c>
      <c r="AF7">
        <v>52.7</v>
      </c>
      <c r="AG7">
        <v>16</v>
      </c>
      <c r="AH7">
        <v>17</v>
      </c>
      <c r="AI7">
        <v>225.5</v>
      </c>
      <c r="AJ7">
        <v>35</v>
      </c>
      <c r="AK7">
        <v>6.4428571428571431</v>
      </c>
      <c r="AL7">
        <v>30751</v>
      </c>
      <c r="AM7">
        <v>0.13</v>
      </c>
      <c r="AN7">
        <v>1</v>
      </c>
      <c r="AO7">
        <v>0</v>
      </c>
      <c r="AP7">
        <v>0</v>
      </c>
      <c r="AQ7">
        <v>0</v>
      </c>
      <c r="AR7">
        <v>0</v>
      </c>
      <c r="AS7" t="s">
        <v>94</v>
      </c>
      <c r="AT7" t="s">
        <v>139</v>
      </c>
    </row>
    <row r="8" spans="1:46" x14ac:dyDescent="0.25">
      <c r="A8">
        <v>7</v>
      </c>
      <c r="B8" t="s">
        <v>5</v>
      </c>
      <c r="C8">
        <v>65</v>
      </c>
      <c r="D8">
        <v>51</v>
      </c>
      <c r="E8">
        <v>14</v>
      </c>
      <c r="F8">
        <v>11</v>
      </c>
      <c r="G8">
        <v>58</v>
      </c>
      <c r="H8">
        <v>5</v>
      </c>
      <c r="L8">
        <v>558</v>
      </c>
      <c r="M8">
        <v>185</v>
      </c>
      <c r="N8">
        <v>4</v>
      </c>
      <c r="O8">
        <v>15</v>
      </c>
      <c r="P8">
        <v>55</v>
      </c>
      <c r="Q8">
        <v>10</v>
      </c>
      <c r="R8">
        <v>2</v>
      </c>
      <c r="S8">
        <v>82</v>
      </c>
      <c r="T8">
        <v>2</v>
      </c>
      <c r="U8">
        <v>8</v>
      </c>
      <c r="V8">
        <v>111</v>
      </c>
      <c r="W8">
        <v>1003</v>
      </c>
      <c r="X8">
        <v>711</v>
      </c>
      <c r="Y8">
        <v>381</v>
      </c>
      <c r="Z8">
        <v>15031</v>
      </c>
      <c r="AA8">
        <v>32</v>
      </c>
      <c r="AB8">
        <v>2236</v>
      </c>
      <c r="AC8">
        <v>805</v>
      </c>
      <c r="AD8">
        <v>224</v>
      </c>
      <c r="AE8">
        <v>52.7</v>
      </c>
      <c r="AF8">
        <v>18.52</v>
      </c>
      <c r="AG8">
        <v>25</v>
      </c>
      <c r="AH8">
        <v>26</v>
      </c>
      <c r="AI8">
        <v>201.33</v>
      </c>
      <c r="AJ8">
        <v>50</v>
      </c>
      <c r="AK8">
        <v>4.0266000000000002</v>
      </c>
      <c r="AL8">
        <v>34910</v>
      </c>
      <c r="AM8">
        <v>0.02</v>
      </c>
      <c r="AN8">
        <v>1</v>
      </c>
      <c r="AO8">
        <v>0</v>
      </c>
      <c r="AP8">
        <v>0</v>
      </c>
      <c r="AQ8">
        <v>0</v>
      </c>
      <c r="AR8">
        <v>0</v>
      </c>
      <c r="AS8" t="s">
        <v>94</v>
      </c>
      <c r="AT8" t="s">
        <v>139</v>
      </c>
    </row>
    <row r="9" spans="1:46" x14ac:dyDescent="0.25">
      <c r="A9">
        <v>8</v>
      </c>
      <c r="B9" t="s">
        <v>1</v>
      </c>
      <c r="C9">
        <v>63</v>
      </c>
      <c r="D9">
        <v>50</v>
      </c>
      <c r="E9">
        <v>13</v>
      </c>
      <c r="F9">
        <v>11</v>
      </c>
      <c r="G9">
        <v>61</v>
      </c>
      <c r="H9">
        <v>3</v>
      </c>
      <c r="L9">
        <v>629</v>
      </c>
      <c r="M9">
        <v>202</v>
      </c>
      <c r="N9">
        <v>2</v>
      </c>
      <c r="O9">
        <v>12</v>
      </c>
      <c r="P9">
        <v>48</v>
      </c>
      <c r="Q9">
        <v>15</v>
      </c>
      <c r="R9">
        <v>1</v>
      </c>
      <c r="S9">
        <v>91</v>
      </c>
      <c r="T9">
        <v>1</v>
      </c>
      <c r="U9">
        <v>3</v>
      </c>
      <c r="V9">
        <v>81</v>
      </c>
      <c r="W9">
        <v>871</v>
      </c>
      <c r="X9">
        <v>871</v>
      </c>
      <c r="Y9">
        <v>410</v>
      </c>
      <c r="Z9">
        <v>19733</v>
      </c>
      <c r="AA9">
        <v>75</v>
      </c>
      <c r="AB9">
        <v>2846</v>
      </c>
      <c r="AC9">
        <v>780</v>
      </c>
      <c r="AD9">
        <v>265</v>
      </c>
      <c r="AE9">
        <v>126.5</v>
      </c>
      <c r="AF9">
        <v>90.55</v>
      </c>
      <c r="AG9">
        <v>24</v>
      </c>
      <c r="AH9">
        <v>24</v>
      </c>
      <c r="AI9">
        <v>375.25</v>
      </c>
      <c r="AJ9">
        <v>44</v>
      </c>
      <c r="AK9">
        <v>8.5284090909090917</v>
      </c>
      <c r="AL9">
        <v>43910</v>
      </c>
      <c r="AM9">
        <v>0.09</v>
      </c>
      <c r="AN9">
        <v>1</v>
      </c>
      <c r="AO9">
        <v>0</v>
      </c>
      <c r="AP9">
        <v>0</v>
      </c>
      <c r="AQ9">
        <v>0</v>
      </c>
      <c r="AR9">
        <v>1</v>
      </c>
      <c r="AS9" t="s">
        <v>94</v>
      </c>
      <c r="AT9" t="s">
        <v>139</v>
      </c>
    </row>
    <row r="10" spans="1:46" x14ac:dyDescent="0.25">
      <c r="A10">
        <v>9</v>
      </c>
      <c r="B10" t="s">
        <v>37</v>
      </c>
      <c r="C10">
        <v>41</v>
      </c>
      <c r="D10">
        <v>55</v>
      </c>
      <c r="E10">
        <v>-14</v>
      </c>
      <c r="F10">
        <v>10</v>
      </c>
      <c r="G10">
        <v>51</v>
      </c>
      <c r="H10">
        <v>4</v>
      </c>
      <c r="L10">
        <v>419</v>
      </c>
      <c r="M10">
        <v>128</v>
      </c>
      <c r="N10">
        <v>5</v>
      </c>
      <c r="O10">
        <v>9</v>
      </c>
      <c r="P10">
        <v>33</v>
      </c>
      <c r="Q10">
        <v>8</v>
      </c>
      <c r="R10">
        <v>0</v>
      </c>
      <c r="S10">
        <v>103</v>
      </c>
      <c r="T10">
        <v>0</v>
      </c>
      <c r="U10">
        <v>5</v>
      </c>
      <c r="V10">
        <v>121</v>
      </c>
      <c r="W10">
        <v>826</v>
      </c>
      <c r="X10">
        <v>710</v>
      </c>
      <c r="Y10">
        <v>420</v>
      </c>
      <c r="Z10">
        <v>16342</v>
      </c>
      <c r="AA10">
        <v>60</v>
      </c>
      <c r="AB10">
        <v>2440</v>
      </c>
      <c r="AC10">
        <v>683</v>
      </c>
      <c r="AD10">
        <v>153</v>
      </c>
      <c r="AE10">
        <v>53.65</v>
      </c>
      <c r="AF10">
        <v>23.2</v>
      </c>
      <c r="AG10">
        <v>13</v>
      </c>
      <c r="AH10">
        <v>14</v>
      </c>
      <c r="AI10">
        <v>147</v>
      </c>
      <c r="AJ10">
        <v>31</v>
      </c>
      <c r="AK10">
        <v>4.741935483870968</v>
      </c>
      <c r="AL10">
        <v>27534</v>
      </c>
      <c r="AM10">
        <v>0.1</v>
      </c>
      <c r="AN10">
        <v>0</v>
      </c>
      <c r="AO10">
        <v>0</v>
      </c>
      <c r="AP10">
        <v>0</v>
      </c>
      <c r="AQ10">
        <v>0</v>
      </c>
      <c r="AR10">
        <v>0</v>
      </c>
      <c r="AS10" t="s">
        <v>94</v>
      </c>
      <c r="AT10" t="s">
        <v>139</v>
      </c>
    </row>
    <row r="11" spans="1:46" x14ac:dyDescent="0.25">
      <c r="A11">
        <v>10</v>
      </c>
      <c r="B11" t="s">
        <v>2</v>
      </c>
      <c r="C11">
        <v>59</v>
      </c>
      <c r="D11">
        <v>53</v>
      </c>
      <c r="E11">
        <v>6</v>
      </c>
      <c r="F11">
        <v>9</v>
      </c>
      <c r="G11">
        <v>58</v>
      </c>
      <c r="H11">
        <v>5</v>
      </c>
      <c r="L11">
        <v>526</v>
      </c>
      <c r="M11">
        <v>173</v>
      </c>
      <c r="N11">
        <v>4</v>
      </c>
      <c r="O11">
        <v>6</v>
      </c>
      <c r="P11">
        <v>48</v>
      </c>
      <c r="Q11">
        <v>11</v>
      </c>
      <c r="R11">
        <v>1</v>
      </c>
      <c r="S11">
        <v>90</v>
      </c>
      <c r="T11">
        <v>2</v>
      </c>
      <c r="U11">
        <v>4</v>
      </c>
      <c r="V11">
        <v>122</v>
      </c>
      <c r="W11">
        <v>790</v>
      </c>
      <c r="X11">
        <v>790</v>
      </c>
      <c r="Y11">
        <v>401</v>
      </c>
      <c r="Z11">
        <v>19664</v>
      </c>
      <c r="AA11">
        <v>74</v>
      </c>
      <c r="AB11">
        <v>2933</v>
      </c>
      <c r="AC11">
        <v>732</v>
      </c>
      <c r="AD11">
        <v>240</v>
      </c>
      <c r="AE11">
        <v>96.5</v>
      </c>
      <c r="AF11">
        <v>87.49</v>
      </c>
      <c r="AG11">
        <v>39</v>
      </c>
      <c r="AH11">
        <v>37</v>
      </c>
      <c r="AI11">
        <v>553.5</v>
      </c>
      <c r="AJ11">
        <v>40</v>
      </c>
      <c r="AK11">
        <v>13.8375</v>
      </c>
      <c r="AL11">
        <v>41500</v>
      </c>
      <c r="AM11">
        <v>-0.03</v>
      </c>
      <c r="AN11">
        <v>1</v>
      </c>
      <c r="AO11">
        <v>0</v>
      </c>
      <c r="AP11">
        <v>0</v>
      </c>
      <c r="AQ11">
        <v>0</v>
      </c>
      <c r="AR11">
        <v>1</v>
      </c>
      <c r="AS11" t="s">
        <v>94</v>
      </c>
      <c r="AT11" t="s">
        <v>139</v>
      </c>
    </row>
    <row r="12" spans="1:46" x14ac:dyDescent="0.25">
      <c r="A12">
        <v>11</v>
      </c>
      <c r="B12" t="s">
        <v>15</v>
      </c>
      <c r="C12">
        <v>59</v>
      </c>
      <c r="D12">
        <v>55</v>
      </c>
      <c r="E12">
        <v>4</v>
      </c>
      <c r="F12">
        <v>10</v>
      </c>
      <c r="G12">
        <v>44</v>
      </c>
      <c r="H12">
        <v>5</v>
      </c>
      <c r="L12">
        <v>491</v>
      </c>
      <c r="M12">
        <v>175</v>
      </c>
      <c r="N12">
        <v>4</v>
      </c>
      <c r="O12">
        <v>10</v>
      </c>
      <c r="P12">
        <v>53</v>
      </c>
      <c r="Q12">
        <v>6</v>
      </c>
      <c r="R12">
        <v>2</v>
      </c>
      <c r="S12">
        <v>55</v>
      </c>
      <c r="T12">
        <v>1</v>
      </c>
      <c r="U12">
        <v>6</v>
      </c>
      <c r="V12">
        <v>127</v>
      </c>
      <c r="W12">
        <v>994</v>
      </c>
      <c r="X12">
        <v>730</v>
      </c>
      <c r="Y12">
        <v>306</v>
      </c>
      <c r="Z12">
        <v>17947</v>
      </c>
      <c r="AA12">
        <v>57</v>
      </c>
      <c r="AB12">
        <v>2699</v>
      </c>
      <c r="AC12">
        <v>782</v>
      </c>
      <c r="AD12">
        <v>218</v>
      </c>
      <c r="AE12">
        <v>48.2</v>
      </c>
      <c r="AF12">
        <v>11</v>
      </c>
      <c r="AG12">
        <v>18</v>
      </c>
      <c r="AH12">
        <v>17</v>
      </c>
      <c r="AI12">
        <v>249.85</v>
      </c>
      <c r="AJ12">
        <v>39</v>
      </c>
      <c r="AK12">
        <v>6.4064102564102559</v>
      </c>
      <c r="AL12">
        <v>38124</v>
      </c>
      <c r="AM12">
        <v>0.05</v>
      </c>
      <c r="AN12">
        <v>0</v>
      </c>
      <c r="AO12">
        <v>0</v>
      </c>
      <c r="AP12">
        <v>0</v>
      </c>
      <c r="AQ12">
        <v>0</v>
      </c>
      <c r="AR12">
        <v>0</v>
      </c>
      <c r="AS12" t="s">
        <v>94</v>
      </c>
      <c r="AT12" t="s">
        <v>139</v>
      </c>
    </row>
    <row r="13" spans="1:46" x14ac:dyDescent="0.25">
      <c r="A13">
        <v>12</v>
      </c>
      <c r="B13" t="s">
        <v>36</v>
      </c>
      <c r="C13">
        <v>42</v>
      </c>
      <c r="D13">
        <v>52</v>
      </c>
      <c r="E13">
        <v>-10</v>
      </c>
      <c r="F13">
        <v>9</v>
      </c>
      <c r="G13">
        <v>60</v>
      </c>
      <c r="H13">
        <v>1</v>
      </c>
      <c r="L13">
        <v>441</v>
      </c>
      <c r="M13">
        <v>136</v>
      </c>
      <c r="N13">
        <v>5</v>
      </c>
      <c r="O13">
        <v>6</v>
      </c>
      <c r="P13">
        <v>35</v>
      </c>
      <c r="Q13">
        <v>7</v>
      </c>
      <c r="R13">
        <v>3</v>
      </c>
      <c r="S13">
        <v>82</v>
      </c>
      <c r="T13">
        <v>5</v>
      </c>
      <c r="U13">
        <v>2</v>
      </c>
      <c r="V13">
        <v>119</v>
      </c>
      <c r="W13">
        <v>1058</v>
      </c>
      <c r="X13">
        <v>638</v>
      </c>
      <c r="Y13">
        <v>392</v>
      </c>
      <c r="Z13">
        <v>18169</v>
      </c>
      <c r="AA13">
        <v>46</v>
      </c>
      <c r="AB13">
        <v>2796</v>
      </c>
      <c r="AC13">
        <v>725</v>
      </c>
      <c r="AD13">
        <v>163</v>
      </c>
      <c r="AE13">
        <v>21.81</v>
      </c>
      <c r="AF13">
        <v>16.809999999999999</v>
      </c>
      <c r="AG13">
        <v>20</v>
      </c>
      <c r="AH13">
        <v>24</v>
      </c>
      <c r="AI13">
        <v>145.80000000000001</v>
      </c>
      <c r="AJ13">
        <v>36</v>
      </c>
      <c r="AK13">
        <v>4.0500000000000007</v>
      </c>
      <c r="AL13">
        <v>20711</v>
      </c>
      <c r="AM13">
        <v>0.09</v>
      </c>
      <c r="AN13">
        <v>0</v>
      </c>
      <c r="AO13">
        <v>0</v>
      </c>
      <c r="AP13">
        <v>0</v>
      </c>
      <c r="AQ13">
        <v>0</v>
      </c>
      <c r="AR13">
        <v>0</v>
      </c>
      <c r="AS13" t="s">
        <v>94</v>
      </c>
      <c r="AT13" t="s">
        <v>139</v>
      </c>
    </row>
    <row r="14" spans="1:46" x14ac:dyDescent="0.25">
      <c r="A14">
        <v>13</v>
      </c>
      <c r="B14" t="s">
        <v>18</v>
      </c>
      <c r="C14">
        <v>40</v>
      </c>
      <c r="D14">
        <v>50</v>
      </c>
      <c r="E14">
        <v>-10</v>
      </c>
      <c r="F14">
        <v>11</v>
      </c>
      <c r="G14">
        <v>73</v>
      </c>
      <c r="H14">
        <v>3</v>
      </c>
      <c r="L14">
        <v>446</v>
      </c>
      <c r="M14">
        <v>140</v>
      </c>
      <c r="N14">
        <v>6</v>
      </c>
      <c r="O14">
        <v>5</v>
      </c>
      <c r="P14">
        <v>37</v>
      </c>
      <c r="Q14">
        <v>3</v>
      </c>
      <c r="R14">
        <v>0</v>
      </c>
      <c r="S14">
        <v>50</v>
      </c>
      <c r="T14">
        <v>2</v>
      </c>
      <c r="U14">
        <v>8</v>
      </c>
      <c r="V14">
        <v>121</v>
      </c>
      <c r="W14">
        <v>931</v>
      </c>
      <c r="X14">
        <v>794</v>
      </c>
      <c r="Y14">
        <v>455</v>
      </c>
      <c r="Z14">
        <v>14531</v>
      </c>
      <c r="AA14">
        <v>29</v>
      </c>
      <c r="AB14">
        <v>2164</v>
      </c>
      <c r="AC14">
        <v>703</v>
      </c>
      <c r="AD14">
        <v>164</v>
      </c>
      <c r="AE14">
        <v>82.8</v>
      </c>
      <c r="AF14">
        <v>9.75</v>
      </c>
      <c r="AG14">
        <v>33</v>
      </c>
      <c r="AH14">
        <v>30</v>
      </c>
      <c r="AI14">
        <v>137</v>
      </c>
      <c r="AJ14">
        <v>39</v>
      </c>
      <c r="AK14">
        <v>3.5128205128205128</v>
      </c>
      <c r="AL14">
        <v>20594</v>
      </c>
      <c r="AM14">
        <v>0.12</v>
      </c>
      <c r="AN14">
        <v>0</v>
      </c>
      <c r="AO14">
        <v>1</v>
      </c>
      <c r="AP14">
        <v>0</v>
      </c>
      <c r="AQ14">
        <v>0</v>
      </c>
      <c r="AR14">
        <v>0</v>
      </c>
      <c r="AS14" t="s">
        <v>94</v>
      </c>
      <c r="AT14" t="s">
        <v>139</v>
      </c>
    </row>
    <row r="15" spans="1:46" x14ac:dyDescent="0.25">
      <c r="A15">
        <v>14</v>
      </c>
      <c r="B15" t="s">
        <v>28</v>
      </c>
      <c r="C15">
        <v>34</v>
      </c>
      <c r="D15">
        <v>48</v>
      </c>
      <c r="E15">
        <v>-14</v>
      </c>
      <c r="F15">
        <v>11</v>
      </c>
      <c r="G15">
        <v>65</v>
      </c>
      <c r="H15">
        <v>3</v>
      </c>
      <c r="L15">
        <v>388</v>
      </c>
      <c r="M15">
        <v>107</v>
      </c>
      <c r="N15">
        <v>1</v>
      </c>
      <c r="O15">
        <v>12</v>
      </c>
      <c r="P15">
        <v>31</v>
      </c>
      <c r="Q15">
        <v>3</v>
      </c>
      <c r="R15">
        <v>0</v>
      </c>
      <c r="S15">
        <v>68</v>
      </c>
      <c r="T15">
        <v>3</v>
      </c>
      <c r="U15">
        <v>6</v>
      </c>
      <c r="V15">
        <v>109</v>
      </c>
      <c r="W15">
        <v>992</v>
      </c>
      <c r="X15">
        <v>642</v>
      </c>
      <c r="Y15">
        <v>400</v>
      </c>
      <c r="Z15">
        <v>12799</v>
      </c>
      <c r="AA15">
        <v>29</v>
      </c>
      <c r="AB15">
        <v>1638</v>
      </c>
      <c r="AC15">
        <v>847</v>
      </c>
      <c r="AD15">
        <v>188</v>
      </c>
      <c r="AE15">
        <v>42.9</v>
      </c>
      <c r="AF15">
        <v>12.92</v>
      </c>
      <c r="AG15">
        <v>12</v>
      </c>
      <c r="AH15">
        <v>13</v>
      </c>
      <c r="AI15">
        <v>113.1</v>
      </c>
      <c r="AJ15">
        <v>35</v>
      </c>
      <c r="AK15">
        <v>3.2314285714285713</v>
      </c>
      <c r="AL15">
        <v>24631</v>
      </c>
      <c r="AM15">
        <v>0.05</v>
      </c>
      <c r="AN15">
        <v>0</v>
      </c>
      <c r="AO15">
        <v>0</v>
      </c>
      <c r="AP15">
        <v>0</v>
      </c>
      <c r="AQ15">
        <v>0</v>
      </c>
      <c r="AR15">
        <v>0</v>
      </c>
      <c r="AS15" t="s">
        <v>94</v>
      </c>
      <c r="AT15" t="s">
        <v>139</v>
      </c>
    </row>
    <row r="16" spans="1:46" x14ac:dyDescent="0.25">
      <c r="A16">
        <v>15</v>
      </c>
      <c r="B16" t="s">
        <v>9</v>
      </c>
      <c r="C16">
        <v>39</v>
      </c>
      <c r="D16">
        <v>51</v>
      </c>
      <c r="E16">
        <v>-12</v>
      </c>
      <c r="F16">
        <v>8</v>
      </c>
      <c r="G16">
        <v>60</v>
      </c>
      <c r="H16">
        <v>2</v>
      </c>
      <c r="L16">
        <v>469</v>
      </c>
      <c r="M16">
        <v>153</v>
      </c>
      <c r="N16">
        <v>4</v>
      </c>
      <c r="O16">
        <v>7</v>
      </c>
      <c r="P16">
        <v>33</v>
      </c>
      <c r="Q16">
        <v>6</v>
      </c>
      <c r="R16">
        <v>0</v>
      </c>
      <c r="S16">
        <v>81</v>
      </c>
      <c r="T16">
        <v>4</v>
      </c>
      <c r="U16">
        <v>4</v>
      </c>
      <c r="V16">
        <v>122</v>
      </c>
      <c r="W16">
        <v>963</v>
      </c>
      <c r="X16">
        <v>649</v>
      </c>
      <c r="Y16">
        <v>465</v>
      </c>
      <c r="Z16">
        <v>13785</v>
      </c>
      <c r="AA16">
        <v>16</v>
      </c>
      <c r="AB16">
        <v>2185</v>
      </c>
      <c r="AC16">
        <v>969</v>
      </c>
      <c r="AD16">
        <v>219</v>
      </c>
      <c r="AE16">
        <v>28.8</v>
      </c>
      <c r="AF16">
        <v>5.4</v>
      </c>
      <c r="AG16">
        <v>19</v>
      </c>
      <c r="AH16">
        <v>23</v>
      </c>
      <c r="AI16">
        <v>135.69999999999999</v>
      </c>
      <c r="AJ16">
        <v>38</v>
      </c>
      <c r="AK16">
        <v>3.5710526315789473</v>
      </c>
      <c r="AL16">
        <v>24825</v>
      </c>
      <c r="AM16">
        <v>0.04</v>
      </c>
      <c r="AN16">
        <v>0</v>
      </c>
      <c r="AO16">
        <v>0</v>
      </c>
      <c r="AP16">
        <v>0</v>
      </c>
      <c r="AQ16">
        <v>0</v>
      </c>
      <c r="AR16">
        <v>0</v>
      </c>
      <c r="AS16" t="s">
        <v>94</v>
      </c>
      <c r="AT16" t="s">
        <v>139</v>
      </c>
    </row>
    <row r="17" spans="1:46" x14ac:dyDescent="0.25">
      <c r="A17">
        <v>16</v>
      </c>
      <c r="B17" t="s">
        <v>31</v>
      </c>
      <c r="C17">
        <v>45</v>
      </c>
      <c r="D17">
        <v>67</v>
      </c>
      <c r="E17">
        <v>-22</v>
      </c>
      <c r="F17">
        <v>7</v>
      </c>
      <c r="G17">
        <v>53</v>
      </c>
      <c r="H17">
        <v>1</v>
      </c>
      <c r="L17">
        <v>464</v>
      </c>
      <c r="M17">
        <v>143</v>
      </c>
      <c r="N17">
        <v>3</v>
      </c>
      <c r="O17">
        <v>11</v>
      </c>
      <c r="P17">
        <v>39</v>
      </c>
      <c r="Q17">
        <v>6</v>
      </c>
      <c r="R17">
        <v>0</v>
      </c>
      <c r="S17">
        <v>66</v>
      </c>
      <c r="T17">
        <v>0</v>
      </c>
      <c r="U17">
        <v>6</v>
      </c>
      <c r="V17">
        <v>90</v>
      </c>
      <c r="W17">
        <v>951</v>
      </c>
      <c r="X17">
        <v>709</v>
      </c>
      <c r="Y17">
        <v>361</v>
      </c>
      <c r="Z17">
        <v>17270</v>
      </c>
      <c r="AA17">
        <v>33</v>
      </c>
      <c r="AB17">
        <v>2451</v>
      </c>
      <c r="AC17">
        <v>749</v>
      </c>
      <c r="AD17">
        <v>221</v>
      </c>
      <c r="AE17">
        <v>55.11</v>
      </c>
      <c r="AF17">
        <v>0.65</v>
      </c>
      <c r="AG17">
        <v>36</v>
      </c>
      <c r="AH17">
        <v>33</v>
      </c>
      <c r="AI17">
        <v>99.9</v>
      </c>
      <c r="AJ17">
        <v>49</v>
      </c>
      <c r="AK17">
        <v>2.0387755102040819</v>
      </c>
      <c r="AL17">
        <v>11189</v>
      </c>
      <c r="AM17">
        <v>0.01</v>
      </c>
      <c r="AN17">
        <v>0</v>
      </c>
      <c r="AO17">
        <v>1</v>
      </c>
      <c r="AP17">
        <v>0</v>
      </c>
      <c r="AQ17">
        <v>0</v>
      </c>
      <c r="AR17">
        <v>0</v>
      </c>
      <c r="AS17" t="s">
        <v>94</v>
      </c>
      <c r="AT17" t="s">
        <v>139</v>
      </c>
    </row>
    <row r="18" spans="1:46" x14ac:dyDescent="0.25">
      <c r="A18">
        <v>17</v>
      </c>
      <c r="B18" t="s">
        <v>41</v>
      </c>
      <c r="C18">
        <v>48</v>
      </c>
      <c r="D18">
        <v>62</v>
      </c>
      <c r="E18">
        <v>-14</v>
      </c>
      <c r="F18">
        <v>7</v>
      </c>
      <c r="G18">
        <v>64</v>
      </c>
      <c r="H18">
        <v>2</v>
      </c>
      <c r="L18">
        <v>439</v>
      </c>
      <c r="M18">
        <v>141</v>
      </c>
      <c r="N18">
        <v>3</v>
      </c>
      <c r="O18">
        <v>2</v>
      </c>
      <c r="P18">
        <v>40</v>
      </c>
      <c r="Q18">
        <v>8</v>
      </c>
      <c r="R18">
        <v>2</v>
      </c>
      <c r="S18">
        <v>88</v>
      </c>
      <c r="T18">
        <v>1</v>
      </c>
      <c r="U18">
        <v>8</v>
      </c>
      <c r="V18">
        <v>156</v>
      </c>
      <c r="W18">
        <v>1277</v>
      </c>
      <c r="X18">
        <v>767</v>
      </c>
      <c r="Y18">
        <v>484</v>
      </c>
      <c r="Z18">
        <v>12799</v>
      </c>
      <c r="AA18">
        <v>57</v>
      </c>
      <c r="AB18">
        <v>1841</v>
      </c>
      <c r="AC18">
        <v>589</v>
      </c>
      <c r="AD18">
        <v>153</v>
      </c>
      <c r="AE18">
        <v>66.05</v>
      </c>
      <c r="AF18">
        <v>52.7</v>
      </c>
      <c r="AG18">
        <v>29</v>
      </c>
      <c r="AH18">
        <v>25</v>
      </c>
      <c r="AI18">
        <v>111.25</v>
      </c>
      <c r="AJ18">
        <v>42</v>
      </c>
      <c r="AK18">
        <v>2.6488095238095237</v>
      </c>
      <c r="AL18">
        <v>43071</v>
      </c>
      <c r="AM18">
        <v>0.16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94</v>
      </c>
      <c r="AT18" t="s">
        <v>139</v>
      </c>
    </row>
    <row r="19" spans="1:46" x14ac:dyDescent="0.25">
      <c r="A19">
        <v>18</v>
      </c>
      <c r="B19" t="s">
        <v>12</v>
      </c>
      <c r="C19">
        <v>44</v>
      </c>
      <c r="D19">
        <v>65</v>
      </c>
      <c r="E19">
        <v>-21</v>
      </c>
      <c r="F19">
        <v>8</v>
      </c>
      <c r="G19">
        <v>60</v>
      </c>
      <c r="H19">
        <v>5</v>
      </c>
      <c r="L19">
        <v>397</v>
      </c>
      <c r="M19">
        <v>151</v>
      </c>
      <c r="N19">
        <v>3</v>
      </c>
      <c r="O19">
        <v>12</v>
      </c>
      <c r="P19">
        <v>38</v>
      </c>
      <c r="Q19">
        <v>6</v>
      </c>
      <c r="R19">
        <v>4</v>
      </c>
      <c r="S19">
        <v>59</v>
      </c>
      <c r="T19">
        <v>2</v>
      </c>
      <c r="U19">
        <v>5</v>
      </c>
      <c r="V19">
        <v>115</v>
      </c>
      <c r="W19">
        <v>939</v>
      </c>
      <c r="X19">
        <v>793</v>
      </c>
      <c r="Y19">
        <v>419</v>
      </c>
      <c r="Z19">
        <v>15118</v>
      </c>
      <c r="AA19">
        <v>28</v>
      </c>
      <c r="AB19">
        <v>2357</v>
      </c>
      <c r="AC19">
        <v>775</v>
      </c>
      <c r="AD19">
        <v>161</v>
      </c>
      <c r="AE19">
        <v>107.91</v>
      </c>
      <c r="AF19">
        <v>5.43</v>
      </c>
      <c r="AG19">
        <v>26</v>
      </c>
      <c r="AH19">
        <v>23</v>
      </c>
      <c r="AI19">
        <v>198</v>
      </c>
      <c r="AJ19">
        <v>42</v>
      </c>
      <c r="AK19">
        <v>4.7142857142857144</v>
      </c>
      <c r="AL19">
        <v>49754</v>
      </c>
      <c r="AM19">
        <v>0.36</v>
      </c>
      <c r="AN19">
        <v>0</v>
      </c>
      <c r="AO19">
        <v>0</v>
      </c>
      <c r="AP19">
        <v>0</v>
      </c>
      <c r="AQ19">
        <v>1</v>
      </c>
      <c r="AR19">
        <v>0</v>
      </c>
      <c r="AS19" t="s">
        <v>94</v>
      </c>
      <c r="AT19" t="s">
        <v>139</v>
      </c>
    </row>
    <row r="20" spans="1:46" x14ac:dyDescent="0.25">
      <c r="A20">
        <v>19</v>
      </c>
      <c r="B20" t="s">
        <v>19</v>
      </c>
      <c r="C20">
        <v>39</v>
      </c>
      <c r="D20">
        <v>67</v>
      </c>
      <c r="E20">
        <v>-28</v>
      </c>
      <c r="F20">
        <v>5</v>
      </c>
      <c r="G20">
        <v>61</v>
      </c>
      <c r="H20">
        <v>3</v>
      </c>
      <c r="L20">
        <v>418</v>
      </c>
      <c r="M20">
        <v>129</v>
      </c>
      <c r="N20">
        <v>1</v>
      </c>
      <c r="O20">
        <v>3</v>
      </c>
      <c r="P20">
        <v>33</v>
      </c>
      <c r="Q20">
        <v>6</v>
      </c>
      <c r="R20">
        <v>0</v>
      </c>
      <c r="S20">
        <v>93</v>
      </c>
      <c r="T20">
        <v>2</v>
      </c>
      <c r="U20">
        <v>10</v>
      </c>
      <c r="V20">
        <v>103</v>
      </c>
      <c r="W20">
        <v>1212</v>
      </c>
      <c r="X20">
        <v>608</v>
      </c>
      <c r="Y20">
        <v>431</v>
      </c>
      <c r="Z20">
        <v>14483</v>
      </c>
      <c r="AA20">
        <v>17</v>
      </c>
      <c r="AB20">
        <v>2124</v>
      </c>
      <c r="AC20">
        <v>818</v>
      </c>
      <c r="AD20">
        <v>188</v>
      </c>
      <c r="AE20">
        <v>50.5</v>
      </c>
      <c r="AF20">
        <v>21.49</v>
      </c>
      <c r="AG20">
        <v>33</v>
      </c>
      <c r="AH20">
        <v>30</v>
      </c>
      <c r="AI20">
        <v>116.9</v>
      </c>
      <c r="AJ20">
        <v>41</v>
      </c>
      <c r="AK20">
        <v>2.8512195121951223</v>
      </c>
      <c r="AL20">
        <v>26972</v>
      </c>
      <c r="AM20">
        <v>0.22</v>
      </c>
      <c r="AN20">
        <v>0</v>
      </c>
      <c r="AO20">
        <v>1</v>
      </c>
      <c r="AP20">
        <v>0</v>
      </c>
      <c r="AQ20">
        <v>1</v>
      </c>
      <c r="AR20">
        <v>0</v>
      </c>
      <c r="AS20" t="s">
        <v>94</v>
      </c>
      <c r="AT20" t="s">
        <v>139</v>
      </c>
    </row>
    <row r="21" spans="1:46" x14ac:dyDescent="0.25">
      <c r="A21">
        <v>20</v>
      </c>
      <c r="B21" t="s">
        <v>8</v>
      </c>
      <c r="C21">
        <v>27</v>
      </c>
      <c r="D21">
        <v>76</v>
      </c>
      <c r="E21">
        <v>-49</v>
      </c>
      <c r="F21">
        <v>6</v>
      </c>
      <c r="G21">
        <v>75</v>
      </c>
      <c r="H21">
        <v>3</v>
      </c>
      <c r="L21">
        <v>380</v>
      </c>
      <c r="M21">
        <v>110</v>
      </c>
      <c r="N21">
        <v>2</v>
      </c>
      <c r="O21">
        <v>6</v>
      </c>
      <c r="P21">
        <v>21</v>
      </c>
      <c r="Q21">
        <v>6</v>
      </c>
      <c r="R21">
        <v>1</v>
      </c>
      <c r="S21">
        <v>42</v>
      </c>
      <c r="T21">
        <v>4</v>
      </c>
      <c r="U21">
        <v>5</v>
      </c>
      <c r="V21">
        <v>116</v>
      </c>
      <c r="W21">
        <v>973</v>
      </c>
      <c r="X21">
        <v>731</v>
      </c>
      <c r="Y21">
        <v>429</v>
      </c>
      <c r="Z21">
        <v>15308</v>
      </c>
      <c r="AA21">
        <v>12</v>
      </c>
      <c r="AB21">
        <v>2269</v>
      </c>
      <c r="AC21">
        <v>796</v>
      </c>
      <c r="AD21">
        <v>167</v>
      </c>
      <c r="AE21">
        <v>66.55</v>
      </c>
      <c r="AF21">
        <v>64.7</v>
      </c>
      <c r="AG21">
        <v>29</v>
      </c>
      <c r="AH21">
        <v>32</v>
      </c>
      <c r="AI21">
        <v>117.95</v>
      </c>
      <c r="AJ21">
        <v>44</v>
      </c>
      <c r="AK21">
        <v>2.6806818181818182</v>
      </c>
      <c r="AL21">
        <v>33690</v>
      </c>
      <c r="AM21">
        <v>0.06</v>
      </c>
      <c r="AN21">
        <v>0</v>
      </c>
      <c r="AO21">
        <v>0</v>
      </c>
      <c r="AP21">
        <v>0</v>
      </c>
      <c r="AQ21">
        <v>1</v>
      </c>
      <c r="AR21">
        <v>0</v>
      </c>
      <c r="AS21" t="s">
        <v>94</v>
      </c>
      <c r="AT21" t="s">
        <v>139</v>
      </c>
    </row>
    <row r="22" spans="1:46" x14ac:dyDescent="0.25">
      <c r="A22">
        <v>1</v>
      </c>
      <c r="B22" t="s">
        <v>2</v>
      </c>
      <c r="C22">
        <v>85</v>
      </c>
      <c r="D22">
        <v>33</v>
      </c>
      <c r="E22">
        <v>52</v>
      </c>
      <c r="F22">
        <v>16</v>
      </c>
      <c r="G22">
        <v>72</v>
      </c>
      <c r="H22">
        <v>0</v>
      </c>
      <c r="L22">
        <v>582</v>
      </c>
      <c r="M22">
        <v>205</v>
      </c>
      <c r="N22">
        <v>2</v>
      </c>
      <c r="O22">
        <v>8</v>
      </c>
      <c r="P22">
        <v>73</v>
      </c>
      <c r="Q22">
        <v>0</v>
      </c>
      <c r="R22">
        <v>12</v>
      </c>
      <c r="S22">
        <v>65</v>
      </c>
      <c r="T22">
        <v>1</v>
      </c>
      <c r="U22">
        <v>2</v>
      </c>
      <c r="V22">
        <v>72</v>
      </c>
      <c r="W22">
        <v>839</v>
      </c>
      <c r="X22">
        <v>652</v>
      </c>
      <c r="Y22">
        <v>394</v>
      </c>
      <c r="Z22">
        <v>20125</v>
      </c>
      <c r="AA22">
        <v>103</v>
      </c>
      <c r="AB22">
        <v>2967</v>
      </c>
      <c r="AC22">
        <v>697</v>
      </c>
      <c r="AD22">
        <v>218</v>
      </c>
      <c r="AE22">
        <v>132.80000000000001</v>
      </c>
      <c r="AF22">
        <v>108.9</v>
      </c>
      <c r="AG22">
        <v>27</v>
      </c>
      <c r="AH22">
        <v>30</v>
      </c>
      <c r="AI22">
        <v>686.7</v>
      </c>
      <c r="AJ22">
        <v>49</v>
      </c>
      <c r="AK22">
        <v>14.014285714285716</v>
      </c>
      <c r="AL22">
        <v>41508</v>
      </c>
      <c r="AM22">
        <v>0.14000000000000001</v>
      </c>
      <c r="AN22">
        <v>0</v>
      </c>
      <c r="AO22">
        <v>0</v>
      </c>
      <c r="AP22">
        <v>1</v>
      </c>
      <c r="AQ22">
        <v>0</v>
      </c>
      <c r="AR22">
        <v>1</v>
      </c>
      <c r="AS22" t="s">
        <v>95</v>
      </c>
      <c r="AT22" t="s">
        <v>140</v>
      </c>
    </row>
    <row r="23" spans="1:46" x14ac:dyDescent="0.25">
      <c r="A23">
        <v>2</v>
      </c>
      <c r="B23" t="s">
        <v>3</v>
      </c>
      <c r="C23">
        <v>86</v>
      </c>
      <c r="D23">
        <v>26</v>
      </c>
      <c r="E23">
        <v>60</v>
      </c>
      <c r="F23">
        <v>17</v>
      </c>
      <c r="G23">
        <v>62</v>
      </c>
      <c r="H23">
        <v>0</v>
      </c>
      <c r="L23">
        <v>670</v>
      </c>
      <c r="M23">
        <v>257</v>
      </c>
      <c r="N23">
        <v>7</v>
      </c>
      <c r="O23">
        <v>10</v>
      </c>
      <c r="P23">
        <v>74</v>
      </c>
      <c r="Q23">
        <v>0</v>
      </c>
      <c r="R23">
        <v>12</v>
      </c>
      <c r="S23">
        <v>74</v>
      </c>
      <c r="T23">
        <v>1</v>
      </c>
      <c r="U23">
        <v>2</v>
      </c>
      <c r="V23">
        <v>84</v>
      </c>
      <c r="W23">
        <v>1003</v>
      </c>
      <c r="X23">
        <v>661</v>
      </c>
      <c r="Y23">
        <v>431</v>
      </c>
      <c r="Z23">
        <v>20153</v>
      </c>
      <c r="AA23">
        <v>47</v>
      </c>
      <c r="AB23">
        <v>3132</v>
      </c>
      <c r="AC23">
        <v>763</v>
      </c>
      <c r="AD23">
        <v>273</v>
      </c>
      <c r="AE23">
        <v>83.5</v>
      </c>
      <c r="AF23">
        <v>52.3</v>
      </c>
      <c r="AG23">
        <v>8</v>
      </c>
      <c r="AH23">
        <v>8</v>
      </c>
      <c r="AI23">
        <v>543.65</v>
      </c>
      <c r="AJ23">
        <v>38</v>
      </c>
      <c r="AK23">
        <v>14.30657894736842</v>
      </c>
      <c r="AL23">
        <v>31639</v>
      </c>
      <c r="AM23">
        <v>0.2</v>
      </c>
      <c r="AN23">
        <v>1</v>
      </c>
      <c r="AO23">
        <v>0</v>
      </c>
      <c r="AP23">
        <v>1</v>
      </c>
      <c r="AQ23">
        <v>0</v>
      </c>
      <c r="AR23">
        <v>1</v>
      </c>
      <c r="AS23" t="s">
        <v>95</v>
      </c>
      <c r="AT23" t="s">
        <v>140</v>
      </c>
    </row>
    <row r="24" spans="1:46" x14ac:dyDescent="0.25">
      <c r="A24">
        <v>3</v>
      </c>
      <c r="B24" t="s">
        <v>25</v>
      </c>
      <c r="C24">
        <v>80</v>
      </c>
      <c r="D24">
        <v>39</v>
      </c>
      <c r="E24">
        <v>41</v>
      </c>
      <c r="F24">
        <v>12</v>
      </c>
      <c r="G24">
        <v>71</v>
      </c>
      <c r="H24">
        <v>4</v>
      </c>
      <c r="L24">
        <v>633</v>
      </c>
      <c r="M24">
        <v>215</v>
      </c>
      <c r="N24">
        <v>7</v>
      </c>
      <c r="O24">
        <v>8</v>
      </c>
      <c r="P24">
        <v>73</v>
      </c>
      <c r="Q24">
        <v>0</v>
      </c>
      <c r="R24">
        <v>7</v>
      </c>
      <c r="S24">
        <v>93</v>
      </c>
      <c r="T24">
        <v>1</v>
      </c>
      <c r="U24">
        <v>5</v>
      </c>
      <c r="V24">
        <v>66</v>
      </c>
      <c r="W24">
        <v>904</v>
      </c>
      <c r="X24">
        <v>642</v>
      </c>
      <c r="Y24">
        <v>395</v>
      </c>
      <c r="Z24">
        <v>22705</v>
      </c>
      <c r="AA24">
        <v>124</v>
      </c>
      <c r="AB24">
        <v>3534</v>
      </c>
      <c r="AC24">
        <v>810</v>
      </c>
      <c r="AD24">
        <v>280</v>
      </c>
      <c r="AE24">
        <v>215</v>
      </c>
      <c r="AF24">
        <v>35.35</v>
      </c>
      <c r="AG24">
        <v>31</v>
      </c>
      <c r="AH24">
        <v>25</v>
      </c>
      <c r="AI24">
        <v>576.6</v>
      </c>
      <c r="AJ24">
        <v>35</v>
      </c>
      <c r="AK24">
        <v>16.474285714285713</v>
      </c>
      <c r="AL24">
        <v>54019</v>
      </c>
      <c r="AM24">
        <v>0.03</v>
      </c>
      <c r="AN24">
        <v>1</v>
      </c>
      <c r="AO24">
        <v>0</v>
      </c>
      <c r="AP24">
        <v>1</v>
      </c>
      <c r="AQ24">
        <v>0</v>
      </c>
      <c r="AR24">
        <v>1</v>
      </c>
      <c r="AS24" t="s">
        <v>95</v>
      </c>
      <c r="AT24" t="s">
        <v>140</v>
      </c>
    </row>
    <row r="25" spans="1:46" x14ac:dyDescent="0.25">
      <c r="A25">
        <v>4</v>
      </c>
      <c r="B25" t="s">
        <v>1</v>
      </c>
      <c r="C25">
        <v>78</v>
      </c>
      <c r="D25">
        <v>42</v>
      </c>
      <c r="E25">
        <v>36</v>
      </c>
      <c r="F25">
        <v>12</v>
      </c>
      <c r="G25">
        <v>54</v>
      </c>
      <c r="H25">
        <v>0</v>
      </c>
      <c r="L25">
        <v>639</v>
      </c>
      <c r="M25">
        <v>236</v>
      </c>
      <c r="N25">
        <v>7</v>
      </c>
      <c r="O25">
        <v>12</v>
      </c>
      <c r="P25">
        <v>65</v>
      </c>
      <c r="Q25">
        <v>0</v>
      </c>
      <c r="R25">
        <v>13</v>
      </c>
      <c r="S25">
        <v>78</v>
      </c>
      <c r="T25">
        <v>0</v>
      </c>
      <c r="U25">
        <v>5</v>
      </c>
      <c r="V25">
        <v>72</v>
      </c>
      <c r="W25">
        <v>883</v>
      </c>
      <c r="X25">
        <v>718</v>
      </c>
      <c r="Y25">
        <v>396</v>
      </c>
      <c r="Z25">
        <v>22283</v>
      </c>
      <c r="AA25">
        <v>58</v>
      </c>
      <c r="AB25">
        <v>3292</v>
      </c>
      <c r="AC25">
        <v>815</v>
      </c>
      <c r="AD25">
        <v>249</v>
      </c>
      <c r="AE25">
        <v>79.900000000000006</v>
      </c>
      <c r="AF25">
        <v>85.38</v>
      </c>
      <c r="AG25">
        <v>21</v>
      </c>
      <c r="AH25">
        <v>19</v>
      </c>
      <c r="AI25">
        <v>425.65</v>
      </c>
      <c r="AJ25">
        <v>38</v>
      </c>
      <c r="AK25">
        <v>11.201315789473684</v>
      </c>
      <c r="AL25">
        <v>53016</v>
      </c>
      <c r="AM25">
        <v>0.15</v>
      </c>
      <c r="AN25">
        <v>0</v>
      </c>
      <c r="AO25">
        <v>0</v>
      </c>
      <c r="AP25">
        <v>1</v>
      </c>
      <c r="AQ25">
        <v>0</v>
      </c>
      <c r="AR25">
        <v>1</v>
      </c>
      <c r="AS25" t="s">
        <v>95</v>
      </c>
      <c r="AT25" t="s">
        <v>140</v>
      </c>
    </row>
    <row r="26" spans="1:46" x14ac:dyDescent="0.25">
      <c r="A26">
        <v>5</v>
      </c>
      <c r="B26" t="s">
        <v>6</v>
      </c>
      <c r="C26">
        <v>77</v>
      </c>
      <c r="D26">
        <v>44</v>
      </c>
      <c r="E26">
        <v>33</v>
      </c>
      <c r="F26">
        <v>13</v>
      </c>
      <c r="G26">
        <v>68</v>
      </c>
      <c r="H26">
        <v>3</v>
      </c>
      <c r="L26">
        <v>568</v>
      </c>
      <c r="M26">
        <v>201</v>
      </c>
      <c r="N26">
        <v>4</v>
      </c>
      <c r="O26">
        <v>17</v>
      </c>
      <c r="P26">
        <v>70</v>
      </c>
      <c r="Q26">
        <v>0</v>
      </c>
      <c r="R26">
        <v>7</v>
      </c>
      <c r="S26">
        <v>99</v>
      </c>
      <c r="T26">
        <v>1</v>
      </c>
      <c r="U26">
        <v>10</v>
      </c>
      <c r="V26">
        <v>123</v>
      </c>
      <c r="W26">
        <v>839</v>
      </c>
      <c r="X26">
        <v>674</v>
      </c>
      <c r="Y26">
        <v>394</v>
      </c>
      <c r="Z26">
        <v>21392</v>
      </c>
      <c r="AA26">
        <v>129</v>
      </c>
      <c r="AB26">
        <v>2835</v>
      </c>
      <c r="AC26">
        <v>701</v>
      </c>
      <c r="AD26">
        <v>227</v>
      </c>
      <c r="AE26">
        <v>113.04</v>
      </c>
      <c r="AF26">
        <v>10.35</v>
      </c>
      <c r="AG26">
        <v>11</v>
      </c>
      <c r="AH26">
        <v>12</v>
      </c>
      <c r="AI26">
        <v>542</v>
      </c>
      <c r="AJ26">
        <v>42</v>
      </c>
      <c r="AK26">
        <v>12.904761904761905</v>
      </c>
      <c r="AL26">
        <v>59957</v>
      </c>
      <c r="AM26">
        <v>0.15</v>
      </c>
      <c r="AN26">
        <v>1</v>
      </c>
      <c r="AO26">
        <v>0</v>
      </c>
      <c r="AP26">
        <v>0</v>
      </c>
      <c r="AQ26">
        <v>0</v>
      </c>
      <c r="AR26">
        <v>1</v>
      </c>
      <c r="AS26" t="s">
        <v>95</v>
      </c>
      <c r="AT26" t="s">
        <v>140</v>
      </c>
    </row>
    <row r="27" spans="1:46" x14ac:dyDescent="0.25">
      <c r="A27">
        <v>6</v>
      </c>
      <c r="B27" t="s">
        <v>4</v>
      </c>
      <c r="C27">
        <v>54</v>
      </c>
      <c r="D27">
        <v>29</v>
      </c>
      <c r="E27">
        <v>25</v>
      </c>
      <c r="F27">
        <v>17</v>
      </c>
      <c r="G27">
        <v>78</v>
      </c>
      <c r="H27">
        <v>2</v>
      </c>
      <c r="L27">
        <v>589</v>
      </c>
      <c r="M27">
        <v>207</v>
      </c>
      <c r="N27">
        <v>3</v>
      </c>
      <c r="O27">
        <v>9</v>
      </c>
      <c r="P27">
        <v>47</v>
      </c>
      <c r="Q27">
        <v>0</v>
      </c>
      <c r="R27">
        <v>7</v>
      </c>
      <c r="S27">
        <v>102</v>
      </c>
      <c r="T27">
        <v>1</v>
      </c>
      <c r="U27">
        <v>5</v>
      </c>
      <c r="V27">
        <v>87</v>
      </c>
      <c r="W27">
        <v>1110</v>
      </c>
      <c r="X27">
        <v>690</v>
      </c>
      <c r="Y27">
        <v>498</v>
      </c>
      <c r="Z27">
        <v>20247</v>
      </c>
      <c r="AA27">
        <v>99</v>
      </c>
      <c r="AB27">
        <v>3177</v>
      </c>
      <c r="AC27">
        <v>852</v>
      </c>
      <c r="AD27">
        <v>217</v>
      </c>
      <c r="AE27">
        <v>185</v>
      </c>
      <c r="AF27">
        <v>47.25</v>
      </c>
      <c r="AG27">
        <v>9</v>
      </c>
      <c r="AH27">
        <v>14</v>
      </c>
      <c r="AI27">
        <v>531.45000000000005</v>
      </c>
      <c r="AJ27">
        <v>42</v>
      </c>
      <c r="AK27">
        <v>12.65357142857143</v>
      </c>
      <c r="AL27">
        <v>75290</v>
      </c>
      <c r="AM27">
        <v>7.0000000000000007E-2</v>
      </c>
      <c r="AN27">
        <v>1</v>
      </c>
      <c r="AO27">
        <v>0</v>
      </c>
      <c r="AP27">
        <v>0</v>
      </c>
      <c r="AQ27">
        <v>0</v>
      </c>
      <c r="AR27">
        <v>1</v>
      </c>
      <c r="AS27" t="s">
        <v>95</v>
      </c>
      <c r="AT27" t="s">
        <v>140</v>
      </c>
    </row>
    <row r="28" spans="1:46" x14ac:dyDescent="0.25">
      <c r="A28">
        <v>7</v>
      </c>
      <c r="B28" t="s">
        <v>15</v>
      </c>
      <c r="C28">
        <v>62</v>
      </c>
      <c r="D28">
        <v>44</v>
      </c>
      <c r="E28">
        <v>18</v>
      </c>
      <c r="F28">
        <v>13</v>
      </c>
      <c r="G28">
        <v>72</v>
      </c>
      <c r="H28">
        <v>2</v>
      </c>
      <c r="L28">
        <v>500</v>
      </c>
      <c r="M28">
        <v>192</v>
      </c>
      <c r="N28">
        <v>3</v>
      </c>
      <c r="O28">
        <v>13</v>
      </c>
      <c r="P28">
        <v>59</v>
      </c>
      <c r="Q28">
        <v>0</v>
      </c>
      <c r="R28">
        <v>3</v>
      </c>
      <c r="S28">
        <v>83</v>
      </c>
      <c r="T28">
        <v>1</v>
      </c>
      <c r="U28">
        <v>5</v>
      </c>
      <c r="V28">
        <v>104</v>
      </c>
      <c r="W28">
        <v>1117</v>
      </c>
      <c r="X28">
        <v>714</v>
      </c>
      <c r="Y28">
        <v>457</v>
      </c>
      <c r="Z28">
        <v>17584</v>
      </c>
      <c r="AA28">
        <v>40</v>
      </c>
      <c r="AB28">
        <v>2743</v>
      </c>
      <c r="AC28">
        <v>775</v>
      </c>
      <c r="AD28">
        <v>196</v>
      </c>
      <c r="AE28">
        <v>86</v>
      </c>
      <c r="AF28">
        <v>60.8</v>
      </c>
      <c r="AG28">
        <v>18</v>
      </c>
      <c r="AH28">
        <v>19</v>
      </c>
      <c r="AI28">
        <v>311.25</v>
      </c>
      <c r="AJ28">
        <v>39</v>
      </c>
      <c r="AK28">
        <v>7.9807692307692308</v>
      </c>
      <c r="AL28">
        <v>39047</v>
      </c>
      <c r="AM28">
        <v>0.32</v>
      </c>
      <c r="AN28">
        <v>0</v>
      </c>
      <c r="AO28">
        <v>0</v>
      </c>
      <c r="AP28">
        <v>0</v>
      </c>
      <c r="AQ28">
        <v>0</v>
      </c>
      <c r="AR28">
        <v>0</v>
      </c>
      <c r="AS28" t="s">
        <v>95</v>
      </c>
      <c r="AT28" t="s">
        <v>140</v>
      </c>
    </row>
    <row r="29" spans="1:46" x14ac:dyDescent="0.25">
      <c r="A29">
        <v>8</v>
      </c>
      <c r="B29" t="s">
        <v>11</v>
      </c>
      <c r="C29">
        <v>41</v>
      </c>
      <c r="D29">
        <v>48</v>
      </c>
      <c r="E29">
        <v>-7</v>
      </c>
      <c r="F29">
        <v>14</v>
      </c>
      <c r="G29">
        <v>59</v>
      </c>
      <c r="H29">
        <v>2</v>
      </c>
      <c r="L29">
        <v>549</v>
      </c>
      <c r="M29">
        <v>179</v>
      </c>
      <c r="N29">
        <v>3</v>
      </c>
      <c r="O29">
        <v>4</v>
      </c>
      <c r="P29">
        <v>37</v>
      </c>
      <c r="Q29">
        <v>0</v>
      </c>
      <c r="R29">
        <v>4</v>
      </c>
      <c r="S29">
        <v>75</v>
      </c>
      <c r="T29">
        <v>0</v>
      </c>
      <c r="U29">
        <v>9</v>
      </c>
      <c r="V29">
        <v>82</v>
      </c>
      <c r="W29">
        <v>919</v>
      </c>
      <c r="X29">
        <v>675</v>
      </c>
      <c r="Y29">
        <v>426</v>
      </c>
      <c r="Z29">
        <v>18240</v>
      </c>
      <c r="AA29">
        <v>58</v>
      </c>
      <c r="AB29">
        <v>2784</v>
      </c>
      <c r="AC29">
        <v>960</v>
      </c>
      <c r="AD29">
        <v>198</v>
      </c>
      <c r="AE29">
        <v>68.900000000000006</v>
      </c>
      <c r="AF29">
        <v>85.05</v>
      </c>
      <c r="AG29">
        <v>12</v>
      </c>
      <c r="AH29">
        <v>9</v>
      </c>
      <c r="AI29">
        <v>263.75</v>
      </c>
      <c r="AJ29">
        <v>36</v>
      </c>
      <c r="AK29">
        <v>7.3263888888888893</v>
      </c>
      <c r="AL29">
        <v>30936</v>
      </c>
      <c r="AM29">
        <v>-0.03</v>
      </c>
      <c r="AN29">
        <v>1</v>
      </c>
      <c r="AO29">
        <v>0</v>
      </c>
      <c r="AP29">
        <v>0</v>
      </c>
      <c r="AQ29">
        <v>0</v>
      </c>
      <c r="AR29">
        <v>0</v>
      </c>
      <c r="AS29" t="s">
        <v>95</v>
      </c>
      <c r="AT29" t="s">
        <v>140</v>
      </c>
    </row>
    <row r="30" spans="1:46" x14ac:dyDescent="0.25">
      <c r="A30">
        <v>9</v>
      </c>
      <c r="B30" t="s">
        <v>31</v>
      </c>
      <c r="C30">
        <v>55</v>
      </c>
      <c r="D30">
        <v>67</v>
      </c>
      <c r="E30">
        <v>-12</v>
      </c>
      <c r="F30">
        <v>10</v>
      </c>
      <c r="G30">
        <v>52</v>
      </c>
      <c r="H30">
        <v>3</v>
      </c>
      <c r="L30">
        <v>452</v>
      </c>
      <c r="M30">
        <v>160</v>
      </c>
      <c r="N30">
        <v>7</v>
      </c>
      <c r="O30">
        <v>5</v>
      </c>
      <c r="P30">
        <v>51</v>
      </c>
      <c r="Q30">
        <v>0</v>
      </c>
      <c r="R30">
        <v>4</v>
      </c>
      <c r="S30">
        <v>54</v>
      </c>
      <c r="T30">
        <v>4</v>
      </c>
      <c r="U30">
        <v>5</v>
      </c>
      <c r="V30">
        <v>122</v>
      </c>
      <c r="W30">
        <v>1091</v>
      </c>
      <c r="X30">
        <v>605</v>
      </c>
      <c r="Y30">
        <v>372</v>
      </c>
      <c r="Z30">
        <v>17145</v>
      </c>
      <c r="AA30">
        <v>51</v>
      </c>
      <c r="AB30">
        <v>2651</v>
      </c>
      <c r="AC30">
        <v>642</v>
      </c>
      <c r="AD30">
        <v>193</v>
      </c>
      <c r="AE30">
        <v>40.69</v>
      </c>
      <c r="AF30">
        <v>23.69</v>
      </c>
      <c r="AG30">
        <v>19</v>
      </c>
      <c r="AH30">
        <v>30</v>
      </c>
      <c r="AI30">
        <v>131.6</v>
      </c>
      <c r="AJ30">
        <v>41</v>
      </c>
      <c r="AK30">
        <v>3.2097560975609754</v>
      </c>
      <c r="AL30">
        <v>11182</v>
      </c>
      <c r="AM30">
        <v>0.2</v>
      </c>
      <c r="AN30">
        <v>0</v>
      </c>
      <c r="AO30">
        <v>0</v>
      </c>
      <c r="AP30">
        <v>0</v>
      </c>
      <c r="AQ30">
        <v>0</v>
      </c>
      <c r="AR30">
        <v>0</v>
      </c>
      <c r="AS30" t="s">
        <v>95</v>
      </c>
      <c r="AT30" t="s">
        <v>140</v>
      </c>
    </row>
    <row r="31" spans="1:46" x14ac:dyDescent="0.25">
      <c r="A31">
        <v>10</v>
      </c>
      <c r="B31" t="s">
        <v>28</v>
      </c>
      <c r="C31">
        <v>43</v>
      </c>
      <c r="D31">
        <v>51</v>
      </c>
      <c r="E31">
        <v>-8</v>
      </c>
      <c r="F31">
        <v>6</v>
      </c>
      <c r="G31">
        <v>80</v>
      </c>
      <c r="H31">
        <v>0</v>
      </c>
      <c r="L31">
        <v>399</v>
      </c>
      <c r="M31">
        <v>124</v>
      </c>
      <c r="N31">
        <v>1</v>
      </c>
      <c r="O31">
        <v>16</v>
      </c>
      <c r="P31">
        <v>37</v>
      </c>
      <c r="Q31">
        <v>0</v>
      </c>
      <c r="R31">
        <v>6</v>
      </c>
      <c r="S31">
        <v>61</v>
      </c>
      <c r="T31">
        <v>1</v>
      </c>
      <c r="U31">
        <v>3</v>
      </c>
      <c r="V31">
        <v>109</v>
      </c>
      <c r="W31">
        <v>997</v>
      </c>
      <c r="X31">
        <v>607</v>
      </c>
      <c r="Y31">
        <v>448</v>
      </c>
      <c r="Z31">
        <v>11821</v>
      </c>
      <c r="AA31">
        <v>37</v>
      </c>
      <c r="AB31">
        <v>1800</v>
      </c>
      <c r="AC31">
        <v>770</v>
      </c>
      <c r="AD31">
        <v>159</v>
      </c>
      <c r="AE31">
        <v>37.9</v>
      </c>
      <c r="AF31">
        <v>26.98</v>
      </c>
      <c r="AG31">
        <v>13</v>
      </c>
      <c r="AH31">
        <v>14</v>
      </c>
      <c r="AI31">
        <v>123.2</v>
      </c>
      <c r="AJ31">
        <v>30</v>
      </c>
      <c r="AK31">
        <v>4.1066666666666665</v>
      </c>
      <c r="AL31">
        <v>23876</v>
      </c>
      <c r="AM31">
        <v>0.2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95</v>
      </c>
      <c r="AT31" t="s">
        <v>140</v>
      </c>
    </row>
    <row r="32" spans="1:46" x14ac:dyDescent="0.25">
      <c r="A32">
        <v>11</v>
      </c>
      <c r="B32" t="s">
        <v>5</v>
      </c>
      <c r="C32">
        <v>47</v>
      </c>
      <c r="D32">
        <v>64</v>
      </c>
      <c r="E32">
        <v>-17</v>
      </c>
      <c r="F32">
        <v>10</v>
      </c>
      <c r="G32">
        <v>78</v>
      </c>
      <c r="H32">
        <v>5</v>
      </c>
      <c r="L32">
        <v>498</v>
      </c>
      <c r="M32">
        <v>136</v>
      </c>
      <c r="N32">
        <v>3</v>
      </c>
      <c r="O32">
        <v>13</v>
      </c>
      <c r="P32">
        <v>40</v>
      </c>
      <c r="Q32">
        <v>0</v>
      </c>
      <c r="R32">
        <v>7</v>
      </c>
      <c r="S32">
        <v>80</v>
      </c>
      <c r="T32">
        <v>0</v>
      </c>
      <c r="U32">
        <v>8</v>
      </c>
      <c r="V32">
        <v>118</v>
      </c>
      <c r="W32">
        <v>1071</v>
      </c>
      <c r="X32">
        <v>575</v>
      </c>
      <c r="Y32">
        <v>408</v>
      </c>
      <c r="Z32">
        <v>15134</v>
      </c>
      <c r="AA32">
        <v>38</v>
      </c>
      <c r="AB32">
        <v>2318</v>
      </c>
      <c r="AC32">
        <v>759</v>
      </c>
      <c r="AD32">
        <v>172</v>
      </c>
      <c r="AE32">
        <v>83.5</v>
      </c>
      <c r="AF32">
        <v>41</v>
      </c>
      <c r="AG32">
        <v>22</v>
      </c>
      <c r="AH32">
        <v>15</v>
      </c>
      <c r="AI32">
        <v>273.05</v>
      </c>
      <c r="AJ32">
        <v>44</v>
      </c>
      <c r="AK32">
        <v>6.2056818181818185</v>
      </c>
      <c r="AL32">
        <v>56972</v>
      </c>
      <c r="AM32">
        <v>-0.08</v>
      </c>
      <c r="AN32">
        <v>1</v>
      </c>
      <c r="AO32">
        <v>0</v>
      </c>
      <c r="AP32">
        <v>0</v>
      </c>
      <c r="AQ32">
        <v>0</v>
      </c>
      <c r="AR32">
        <v>0</v>
      </c>
      <c r="AS32" t="s">
        <v>95</v>
      </c>
      <c r="AT32" t="s">
        <v>140</v>
      </c>
    </row>
    <row r="33" spans="1:46" x14ac:dyDescent="0.25">
      <c r="A33">
        <v>12</v>
      </c>
      <c r="B33" t="s">
        <v>7</v>
      </c>
      <c r="C33">
        <v>48</v>
      </c>
      <c r="D33">
        <v>63</v>
      </c>
      <c r="E33">
        <v>-15</v>
      </c>
      <c r="F33">
        <v>9</v>
      </c>
      <c r="G33">
        <v>72</v>
      </c>
      <c r="H33">
        <v>1</v>
      </c>
      <c r="L33">
        <v>435</v>
      </c>
      <c r="M33">
        <v>145</v>
      </c>
      <c r="N33">
        <v>4</v>
      </c>
      <c r="O33">
        <v>10</v>
      </c>
      <c r="P33">
        <v>39</v>
      </c>
      <c r="Q33">
        <v>0</v>
      </c>
      <c r="R33">
        <v>9</v>
      </c>
      <c r="S33">
        <v>65</v>
      </c>
      <c r="T33">
        <v>2</v>
      </c>
      <c r="U33">
        <v>3</v>
      </c>
      <c r="V33">
        <v>127</v>
      </c>
      <c r="W33">
        <v>1028</v>
      </c>
      <c r="X33">
        <v>677</v>
      </c>
      <c r="Y33">
        <v>447</v>
      </c>
      <c r="Z33">
        <v>14558</v>
      </c>
      <c r="AA33">
        <v>25</v>
      </c>
      <c r="AB33">
        <v>1916</v>
      </c>
      <c r="AC33">
        <v>735</v>
      </c>
      <c r="AD33">
        <v>197</v>
      </c>
      <c r="AE33">
        <v>92.1</v>
      </c>
      <c r="AF33">
        <v>66.05</v>
      </c>
      <c r="AG33">
        <v>17</v>
      </c>
      <c r="AH33">
        <v>18</v>
      </c>
      <c r="AI33">
        <v>218.65</v>
      </c>
      <c r="AJ33">
        <v>31</v>
      </c>
      <c r="AK33">
        <v>7.0532258064516133</v>
      </c>
      <c r="AL33">
        <v>31893</v>
      </c>
      <c r="AM33">
        <v>0.25</v>
      </c>
      <c r="AN33">
        <v>1</v>
      </c>
      <c r="AO33">
        <v>0</v>
      </c>
      <c r="AP33">
        <v>0</v>
      </c>
      <c r="AQ33">
        <v>0</v>
      </c>
      <c r="AR33">
        <v>0</v>
      </c>
      <c r="AS33" t="s">
        <v>95</v>
      </c>
      <c r="AT33" t="s">
        <v>140</v>
      </c>
    </row>
    <row r="34" spans="1:46" x14ac:dyDescent="0.25">
      <c r="A34">
        <v>13</v>
      </c>
      <c r="B34" t="s">
        <v>37</v>
      </c>
      <c r="C34">
        <v>41</v>
      </c>
      <c r="D34">
        <v>56</v>
      </c>
      <c r="E34">
        <v>-15</v>
      </c>
      <c r="F34">
        <v>11</v>
      </c>
      <c r="G34">
        <v>70</v>
      </c>
      <c r="H34">
        <v>2</v>
      </c>
      <c r="L34">
        <v>426</v>
      </c>
      <c r="M34">
        <v>135</v>
      </c>
      <c r="N34">
        <v>4</v>
      </c>
      <c r="O34">
        <v>7</v>
      </c>
      <c r="P34">
        <v>36</v>
      </c>
      <c r="Q34">
        <v>0</v>
      </c>
      <c r="R34">
        <v>5</v>
      </c>
      <c r="S34">
        <v>87</v>
      </c>
      <c r="T34">
        <v>5</v>
      </c>
      <c r="U34">
        <v>2</v>
      </c>
      <c r="V34">
        <v>124</v>
      </c>
      <c r="W34">
        <v>1009</v>
      </c>
      <c r="X34">
        <v>665</v>
      </c>
      <c r="Y34">
        <v>434</v>
      </c>
      <c r="Z34">
        <v>14558</v>
      </c>
      <c r="AA34">
        <v>53</v>
      </c>
      <c r="AB34">
        <v>2170</v>
      </c>
      <c r="AC34">
        <v>725</v>
      </c>
      <c r="AD34">
        <v>188</v>
      </c>
      <c r="AE34">
        <v>38.78</v>
      </c>
      <c r="AF34">
        <v>3.8</v>
      </c>
      <c r="AG34">
        <v>14</v>
      </c>
      <c r="AH34">
        <v>13</v>
      </c>
      <c r="AI34">
        <v>186</v>
      </c>
      <c r="AJ34">
        <v>34</v>
      </c>
      <c r="AK34">
        <v>5.4705882352941178</v>
      </c>
      <c r="AL34">
        <v>27433</v>
      </c>
      <c r="AM34">
        <v>0.16</v>
      </c>
      <c r="AN34">
        <v>0</v>
      </c>
      <c r="AO34">
        <v>0</v>
      </c>
      <c r="AP34">
        <v>0</v>
      </c>
      <c r="AQ34">
        <v>0</v>
      </c>
      <c r="AR34">
        <v>0</v>
      </c>
      <c r="AS34" t="s">
        <v>95</v>
      </c>
      <c r="AT34" t="s">
        <v>140</v>
      </c>
    </row>
    <row r="35" spans="1:46" x14ac:dyDescent="0.25">
      <c r="A35">
        <v>14</v>
      </c>
      <c r="B35" t="s">
        <v>9</v>
      </c>
      <c r="C35">
        <v>50</v>
      </c>
      <c r="D35">
        <v>63</v>
      </c>
      <c r="E35">
        <v>-13</v>
      </c>
      <c r="F35">
        <v>7</v>
      </c>
      <c r="G35">
        <v>77</v>
      </c>
      <c r="H35">
        <v>0</v>
      </c>
      <c r="L35">
        <v>441</v>
      </c>
      <c r="M35">
        <v>137</v>
      </c>
      <c r="N35">
        <v>4</v>
      </c>
      <c r="O35">
        <v>13</v>
      </c>
      <c r="P35">
        <v>48</v>
      </c>
      <c r="Q35">
        <v>0</v>
      </c>
      <c r="R35">
        <v>2</v>
      </c>
      <c r="S35">
        <v>57</v>
      </c>
      <c r="T35">
        <v>0</v>
      </c>
      <c r="U35">
        <v>2</v>
      </c>
      <c r="V35">
        <v>113</v>
      </c>
      <c r="W35">
        <v>1022</v>
      </c>
      <c r="X35">
        <v>698</v>
      </c>
      <c r="Y35">
        <v>471</v>
      </c>
      <c r="Z35">
        <v>13543</v>
      </c>
      <c r="AA35">
        <v>20</v>
      </c>
      <c r="AB35">
        <v>2108</v>
      </c>
      <c r="AC35">
        <v>880</v>
      </c>
      <c r="AD35">
        <v>203</v>
      </c>
      <c r="AE35">
        <v>101.2</v>
      </c>
      <c r="AF35">
        <v>50.2</v>
      </c>
      <c r="AG35">
        <v>22</v>
      </c>
      <c r="AH35">
        <v>24</v>
      </c>
      <c r="AI35">
        <v>228.43</v>
      </c>
      <c r="AJ35">
        <v>45</v>
      </c>
      <c r="AK35">
        <v>5.0762222222222224</v>
      </c>
      <c r="AL35">
        <v>25161</v>
      </c>
      <c r="AM35">
        <v>0.08</v>
      </c>
      <c r="AN35">
        <v>0</v>
      </c>
      <c r="AO35">
        <v>0</v>
      </c>
      <c r="AP35">
        <v>0</v>
      </c>
      <c r="AQ35">
        <v>0</v>
      </c>
      <c r="AR35">
        <v>0</v>
      </c>
      <c r="AS35" t="s">
        <v>95</v>
      </c>
      <c r="AT35" t="s">
        <v>140</v>
      </c>
    </row>
    <row r="36" spans="1:46" x14ac:dyDescent="0.25">
      <c r="A36">
        <v>15</v>
      </c>
      <c r="B36" t="s">
        <v>36</v>
      </c>
      <c r="C36">
        <v>45</v>
      </c>
      <c r="D36">
        <v>70</v>
      </c>
      <c r="E36">
        <v>-25</v>
      </c>
      <c r="F36">
        <v>8</v>
      </c>
      <c r="G36">
        <v>56</v>
      </c>
      <c r="H36">
        <v>0</v>
      </c>
      <c r="L36">
        <v>403</v>
      </c>
      <c r="M36">
        <v>145</v>
      </c>
      <c r="N36">
        <v>3</v>
      </c>
      <c r="O36">
        <v>14</v>
      </c>
      <c r="P36">
        <v>40</v>
      </c>
      <c r="Q36">
        <v>0</v>
      </c>
      <c r="R36">
        <v>5</v>
      </c>
      <c r="S36">
        <v>50</v>
      </c>
      <c r="T36">
        <v>5</v>
      </c>
      <c r="U36">
        <v>8</v>
      </c>
      <c r="V36">
        <v>109</v>
      </c>
      <c r="W36">
        <v>1039</v>
      </c>
      <c r="X36">
        <v>634</v>
      </c>
      <c r="Y36">
        <v>399</v>
      </c>
      <c r="Z36">
        <v>16125</v>
      </c>
      <c r="AA36">
        <v>15</v>
      </c>
      <c r="AB36">
        <v>2494</v>
      </c>
      <c r="AC36">
        <v>867</v>
      </c>
      <c r="AD36">
        <v>196</v>
      </c>
      <c r="AE36">
        <v>58.1</v>
      </c>
      <c r="AF36">
        <v>49.3</v>
      </c>
      <c r="AG36">
        <v>21</v>
      </c>
      <c r="AH36">
        <v>17</v>
      </c>
      <c r="AI36">
        <v>157.1</v>
      </c>
      <c r="AJ36">
        <v>37</v>
      </c>
      <c r="AK36">
        <v>4.2459459459459454</v>
      </c>
      <c r="AL36">
        <v>20619</v>
      </c>
      <c r="AM36">
        <v>0.12</v>
      </c>
      <c r="AN36">
        <v>0</v>
      </c>
      <c r="AO36">
        <v>0</v>
      </c>
      <c r="AP36">
        <v>0</v>
      </c>
      <c r="AQ36">
        <v>0</v>
      </c>
      <c r="AR36">
        <v>0</v>
      </c>
      <c r="AS36" t="s">
        <v>95</v>
      </c>
      <c r="AT36" t="s">
        <v>140</v>
      </c>
    </row>
    <row r="37" spans="1:46" x14ac:dyDescent="0.25">
      <c r="A37">
        <v>16</v>
      </c>
      <c r="B37" t="s">
        <v>17</v>
      </c>
      <c r="C37">
        <v>39</v>
      </c>
      <c r="D37">
        <v>55</v>
      </c>
      <c r="E37">
        <v>-16</v>
      </c>
      <c r="F37">
        <v>10</v>
      </c>
      <c r="G37">
        <v>65</v>
      </c>
      <c r="H37">
        <v>2</v>
      </c>
      <c r="L37">
        <v>388</v>
      </c>
      <c r="M37">
        <v>121</v>
      </c>
      <c r="N37">
        <v>6</v>
      </c>
      <c r="O37">
        <v>4</v>
      </c>
      <c r="P37">
        <v>31</v>
      </c>
      <c r="Q37">
        <v>0</v>
      </c>
      <c r="R37">
        <v>8</v>
      </c>
      <c r="S37">
        <v>103</v>
      </c>
      <c r="T37">
        <v>2</v>
      </c>
      <c r="U37">
        <v>5</v>
      </c>
      <c r="V37">
        <v>153</v>
      </c>
      <c r="W37">
        <v>1237</v>
      </c>
      <c r="X37">
        <v>639</v>
      </c>
      <c r="Y37">
        <v>428</v>
      </c>
      <c r="Z37">
        <v>12559</v>
      </c>
      <c r="AA37">
        <v>20</v>
      </c>
      <c r="AB37">
        <v>1894</v>
      </c>
      <c r="AC37">
        <v>676</v>
      </c>
      <c r="AD37">
        <v>149</v>
      </c>
      <c r="AE37">
        <v>45.6</v>
      </c>
      <c r="AF37">
        <v>1.2</v>
      </c>
      <c r="AG37">
        <v>27</v>
      </c>
      <c r="AH37">
        <v>26</v>
      </c>
      <c r="AI37">
        <v>107.18</v>
      </c>
      <c r="AJ37">
        <v>36</v>
      </c>
      <c r="AK37">
        <v>2.9772222222222222</v>
      </c>
      <c r="AL37">
        <v>20558</v>
      </c>
      <c r="AM37">
        <v>0.31</v>
      </c>
      <c r="AN37">
        <v>0</v>
      </c>
      <c r="AO37">
        <v>1</v>
      </c>
      <c r="AP37">
        <v>0</v>
      </c>
      <c r="AQ37">
        <v>0</v>
      </c>
      <c r="AR37">
        <v>0</v>
      </c>
      <c r="AS37" t="s">
        <v>95</v>
      </c>
      <c r="AT37" t="s">
        <v>140</v>
      </c>
    </row>
    <row r="38" spans="1:46" x14ac:dyDescent="0.25">
      <c r="A38">
        <v>17</v>
      </c>
      <c r="B38" t="s">
        <v>18</v>
      </c>
      <c r="C38">
        <v>40</v>
      </c>
      <c r="D38">
        <v>68</v>
      </c>
      <c r="E38">
        <v>-28</v>
      </c>
      <c r="F38">
        <v>7</v>
      </c>
      <c r="G38">
        <v>84</v>
      </c>
      <c r="H38">
        <v>5</v>
      </c>
      <c r="L38">
        <v>424</v>
      </c>
      <c r="M38">
        <v>143</v>
      </c>
      <c r="N38">
        <v>3</v>
      </c>
      <c r="O38">
        <v>9</v>
      </c>
      <c r="P38">
        <v>36</v>
      </c>
      <c r="Q38">
        <v>0</v>
      </c>
      <c r="R38">
        <v>4</v>
      </c>
      <c r="S38">
        <v>63</v>
      </c>
      <c r="T38">
        <v>2</v>
      </c>
      <c r="U38">
        <v>4</v>
      </c>
      <c r="V38">
        <v>119</v>
      </c>
      <c r="W38">
        <v>1016</v>
      </c>
      <c r="X38">
        <v>618</v>
      </c>
      <c r="Y38">
        <v>514</v>
      </c>
      <c r="Z38">
        <v>14049</v>
      </c>
      <c r="AA38">
        <v>22</v>
      </c>
      <c r="AB38">
        <v>2200</v>
      </c>
      <c r="AC38">
        <v>696</v>
      </c>
      <c r="AD38">
        <v>164</v>
      </c>
      <c r="AE38">
        <v>70.45</v>
      </c>
      <c r="AF38">
        <v>58.1</v>
      </c>
      <c r="AG38">
        <v>29</v>
      </c>
      <c r="AH38">
        <v>32</v>
      </c>
      <c r="AI38">
        <v>175.65</v>
      </c>
      <c r="AJ38">
        <v>46</v>
      </c>
      <c r="AK38">
        <v>3.8184782608695653</v>
      </c>
      <c r="AL38">
        <v>20571</v>
      </c>
      <c r="AM38">
        <v>0.21</v>
      </c>
      <c r="AN38">
        <v>0</v>
      </c>
      <c r="AO38">
        <v>0</v>
      </c>
      <c r="AP38">
        <v>0</v>
      </c>
      <c r="AQ38">
        <v>0</v>
      </c>
      <c r="AR38">
        <v>0</v>
      </c>
      <c r="AS38" t="s">
        <v>95</v>
      </c>
      <c r="AT38" t="s">
        <v>140</v>
      </c>
    </row>
    <row r="39" spans="1:46" x14ac:dyDescent="0.25">
      <c r="A39">
        <v>18</v>
      </c>
      <c r="B39" t="s">
        <v>39</v>
      </c>
      <c r="C39">
        <v>37</v>
      </c>
      <c r="D39">
        <v>80</v>
      </c>
      <c r="E39">
        <v>-43</v>
      </c>
      <c r="F39">
        <v>5</v>
      </c>
      <c r="G39">
        <v>67</v>
      </c>
      <c r="H39">
        <v>5</v>
      </c>
      <c r="L39">
        <v>396</v>
      </c>
      <c r="M39">
        <v>126</v>
      </c>
      <c r="N39">
        <v>3</v>
      </c>
      <c r="O39">
        <v>4</v>
      </c>
      <c r="P39">
        <v>33</v>
      </c>
      <c r="Q39">
        <v>0</v>
      </c>
      <c r="R39">
        <v>4</v>
      </c>
      <c r="S39">
        <v>71</v>
      </c>
      <c r="T39">
        <v>5</v>
      </c>
      <c r="U39">
        <v>14</v>
      </c>
      <c r="V39">
        <v>134</v>
      </c>
      <c r="W39">
        <v>1110</v>
      </c>
      <c r="X39">
        <v>637</v>
      </c>
      <c r="Y39">
        <v>403</v>
      </c>
      <c r="Z39">
        <v>15610</v>
      </c>
      <c r="AA39">
        <v>41</v>
      </c>
      <c r="AB39">
        <v>2490</v>
      </c>
      <c r="AC39">
        <v>748</v>
      </c>
      <c r="AD39">
        <v>179</v>
      </c>
      <c r="AE39">
        <v>40</v>
      </c>
      <c r="AF39">
        <v>28.9</v>
      </c>
      <c r="AG39">
        <v>26</v>
      </c>
      <c r="AH39">
        <v>16</v>
      </c>
      <c r="AI39">
        <v>135.85</v>
      </c>
      <c r="AJ39">
        <v>42</v>
      </c>
      <c r="AK39">
        <v>3.2345238095238096</v>
      </c>
      <c r="AL39">
        <v>20761</v>
      </c>
      <c r="AM39">
        <v>0.33</v>
      </c>
      <c r="AN39">
        <v>0</v>
      </c>
      <c r="AO39">
        <v>1</v>
      </c>
      <c r="AP39">
        <v>0</v>
      </c>
      <c r="AQ39">
        <v>1</v>
      </c>
      <c r="AR39">
        <v>0</v>
      </c>
      <c r="AS39" t="s">
        <v>95</v>
      </c>
      <c r="AT39" t="s">
        <v>140</v>
      </c>
    </row>
    <row r="40" spans="1:46" x14ac:dyDescent="0.25">
      <c r="A40">
        <v>19</v>
      </c>
      <c r="B40" t="s">
        <v>40</v>
      </c>
      <c r="C40">
        <v>27</v>
      </c>
      <c r="D40">
        <v>53</v>
      </c>
      <c r="E40">
        <v>-26</v>
      </c>
      <c r="F40">
        <v>11</v>
      </c>
      <c r="G40">
        <v>77</v>
      </c>
      <c r="H40">
        <v>1</v>
      </c>
      <c r="L40">
        <v>349</v>
      </c>
      <c r="M40">
        <v>98</v>
      </c>
      <c r="N40">
        <v>2</v>
      </c>
      <c r="O40">
        <v>8</v>
      </c>
      <c r="P40">
        <v>26</v>
      </c>
      <c r="Q40">
        <v>0</v>
      </c>
      <c r="R40">
        <v>1</v>
      </c>
      <c r="S40">
        <v>51</v>
      </c>
      <c r="T40">
        <v>0</v>
      </c>
      <c r="U40">
        <v>5</v>
      </c>
      <c r="V40">
        <v>118</v>
      </c>
      <c r="W40">
        <v>1090</v>
      </c>
      <c r="X40">
        <v>727</v>
      </c>
      <c r="Y40">
        <v>480</v>
      </c>
      <c r="Z40">
        <v>15736</v>
      </c>
      <c r="AA40">
        <v>37</v>
      </c>
      <c r="AB40">
        <v>2448</v>
      </c>
      <c r="AC40">
        <v>735</v>
      </c>
      <c r="AD40">
        <v>141</v>
      </c>
      <c r="AE40">
        <v>47.95</v>
      </c>
      <c r="AF40">
        <v>13.5</v>
      </c>
      <c r="AG40">
        <v>18</v>
      </c>
      <c r="AH40">
        <v>19</v>
      </c>
      <c r="AI40">
        <v>128.80000000000001</v>
      </c>
      <c r="AJ40">
        <v>35</v>
      </c>
      <c r="AK40">
        <v>3.68</v>
      </c>
      <c r="AL40">
        <v>30449</v>
      </c>
      <c r="AM40">
        <v>0.19</v>
      </c>
      <c r="AN40">
        <v>0</v>
      </c>
      <c r="AO40">
        <v>1</v>
      </c>
      <c r="AP40">
        <v>0</v>
      </c>
      <c r="AQ40">
        <v>1</v>
      </c>
      <c r="AR40">
        <v>0</v>
      </c>
      <c r="AS40" t="s">
        <v>95</v>
      </c>
      <c r="AT40" t="s">
        <v>140</v>
      </c>
    </row>
    <row r="41" spans="1:46" x14ac:dyDescent="0.25">
      <c r="A41">
        <v>20</v>
      </c>
      <c r="B41" t="s">
        <v>41</v>
      </c>
      <c r="C41">
        <v>29</v>
      </c>
      <c r="D41">
        <v>69</v>
      </c>
      <c r="E41">
        <v>-40</v>
      </c>
      <c r="F41">
        <v>6</v>
      </c>
      <c r="G41">
        <v>78</v>
      </c>
      <c r="H41">
        <v>4</v>
      </c>
      <c r="L41">
        <v>388</v>
      </c>
      <c r="M41">
        <v>122</v>
      </c>
      <c r="N41">
        <v>5</v>
      </c>
      <c r="O41">
        <v>1</v>
      </c>
      <c r="P41">
        <v>26</v>
      </c>
      <c r="Q41">
        <v>0</v>
      </c>
      <c r="R41">
        <v>3</v>
      </c>
      <c r="S41">
        <v>80</v>
      </c>
      <c r="T41">
        <v>2</v>
      </c>
      <c r="U41">
        <v>4</v>
      </c>
      <c r="V41">
        <v>179</v>
      </c>
      <c r="W41">
        <v>1173</v>
      </c>
      <c r="X41">
        <v>630</v>
      </c>
      <c r="Y41">
        <v>437</v>
      </c>
      <c r="Z41">
        <v>12360</v>
      </c>
      <c r="AA41">
        <v>38</v>
      </c>
      <c r="AB41">
        <v>1882</v>
      </c>
      <c r="AC41">
        <v>633</v>
      </c>
      <c r="AD41">
        <v>159</v>
      </c>
      <c r="AE41">
        <v>41.9</v>
      </c>
      <c r="AF41">
        <v>23.77</v>
      </c>
      <c r="AG41">
        <v>25</v>
      </c>
      <c r="AH41">
        <v>23</v>
      </c>
      <c r="AI41">
        <v>132</v>
      </c>
      <c r="AJ41">
        <v>42</v>
      </c>
      <c r="AK41">
        <v>3.1428571428571428</v>
      </c>
      <c r="AL41">
        <v>41287</v>
      </c>
      <c r="AM41">
        <v>7.0000000000000007E-2</v>
      </c>
      <c r="AN41">
        <v>0</v>
      </c>
      <c r="AO41">
        <v>0</v>
      </c>
      <c r="AP41">
        <v>0</v>
      </c>
      <c r="AQ41">
        <v>1</v>
      </c>
      <c r="AR41">
        <v>0</v>
      </c>
      <c r="AS41" t="s">
        <v>95</v>
      </c>
      <c r="AT41" t="s">
        <v>140</v>
      </c>
    </row>
    <row r="42" spans="1:46" x14ac:dyDescent="0.25">
      <c r="A42">
        <v>1</v>
      </c>
      <c r="B42" t="s">
        <v>25</v>
      </c>
      <c r="C42">
        <v>106</v>
      </c>
      <c r="D42">
        <v>27</v>
      </c>
      <c r="E42">
        <v>79</v>
      </c>
      <c r="F42">
        <v>18</v>
      </c>
      <c r="G42">
        <v>59</v>
      </c>
      <c r="H42">
        <v>2</v>
      </c>
      <c r="I42">
        <v>78.599999999999994</v>
      </c>
      <c r="J42">
        <v>23.8</v>
      </c>
      <c r="K42">
        <v>27.400000000000006</v>
      </c>
      <c r="L42">
        <v>656</v>
      </c>
      <c r="M42">
        <v>656</v>
      </c>
      <c r="N42">
        <v>6</v>
      </c>
      <c r="O42">
        <v>12</v>
      </c>
      <c r="P42">
        <v>93</v>
      </c>
      <c r="Q42">
        <v>13</v>
      </c>
      <c r="R42">
        <v>4</v>
      </c>
      <c r="S42">
        <v>67</v>
      </c>
      <c r="T42">
        <v>2</v>
      </c>
      <c r="U42">
        <v>2</v>
      </c>
      <c r="V42">
        <v>58</v>
      </c>
      <c r="W42">
        <v>620</v>
      </c>
      <c r="X42">
        <v>195</v>
      </c>
      <c r="Y42">
        <v>344</v>
      </c>
      <c r="Z42">
        <v>26164</v>
      </c>
      <c r="AA42">
        <v>118</v>
      </c>
      <c r="AB42">
        <v>4546</v>
      </c>
      <c r="AC42">
        <v>691</v>
      </c>
      <c r="AD42">
        <v>284</v>
      </c>
      <c r="AE42">
        <v>317.5</v>
      </c>
      <c r="AF42">
        <v>91.35</v>
      </c>
      <c r="AG42">
        <v>31</v>
      </c>
      <c r="AH42">
        <v>32</v>
      </c>
      <c r="AI42">
        <v>1010</v>
      </c>
      <c r="AJ42">
        <v>32</v>
      </c>
      <c r="AK42">
        <v>31.5625</v>
      </c>
      <c r="AL42">
        <v>54070</v>
      </c>
      <c r="AM42">
        <v>0.06</v>
      </c>
      <c r="AN42">
        <v>1</v>
      </c>
      <c r="AO42">
        <v>0</v>
      </c>
      <c r="AP42">
        <v>1</v>
      </c>
      <c r="AQ42">
        <v>0</v>
      </c>
      <c r="AR42">
        <v>1</v>
      </c>
      <c r="AS42" t="s">
        <v>96</v>
      </c>
      <c r="AT42" t="s">
        <v>141</v>
      </c>
    </row>
    <row r="43" spans="1:46" x14ac:dyDescent="0.25">
      <c r="A43">
        <v>2</v>
      </c>
      <c r="B43" t="s">
        <v>4</v>
      </c>
      <c r="C43">
        <v>68</v>
      </c>
      <c r="D43">
        <v>28</v>
      </c>
      <c r="E43">
        <v>40</v>
      </c>
      <c r="F43">
        <v>19</v>
      </c>
      <c r="G43">
        <v>64</v>
      </c>
      <c r="H43">
        <v>1</v>
      </c>
      <c r="I43">
        <v>55.7</v>
      </c>
      <c r="J43">
        <v>40.700000000000003</v>
      </c>
      <c r="K43">
        <v>12.299999999999997</v>
      </c>
      <c r="L43">
        <v>509</v>
      </c>
      <c r="M43">
        <v>509</v>
      </c>
      <c r="N43">
        <v>1</v>
      </c>
      <c r="O43">
        <v>12</v>
      </c>
      <c r="P43">
        <v>56</v>
      </c>
      <c r="Q43">
        <v>13</v>
      </c>
      <c r="R43">
        <v>4</v>
      </c>
      <c r="S43">
        <v>88</v>
      </c>
      <c r="T43">
        <v>2</v>
      </c>
      <c r="U43">
        <v>1</v>
      </c>
      <c r="V43">
        <v>117</v>
      </c>
      <c r="W43">
        <v>926</v>
      </c>
      <c r="X43">
        <v>173</v>
      </c>
      <c r="Y43">
        <v>405</v>
      </c>
      <c r="Z43">
        <v>17765</v>
      </c>
      <c r="AA43">
        <v>85</v>
      </c>
      <c r="AB43">
        <v>2878</v>
      </c>
      <c r="AC43">
        <v>753</v>
      </c>
      <c r="AD43">
        <v>220</v>
      </c>
      <c r="AE43">
        <v>198.4</v>
      </c>
      <c r="AF43">
        <v>45.5</v>
      </c>
      <c r="AG43">
        <v>13</v>
      </c>
      <c r="AH43">
        <v>11</v>
      </c>
      <c r="AI43">
        <v>849.5</v>
      </c>
      <c r="AJ43">
        <v>35</v>
      </c>
      <c r="AK43">
        <v>24.271428571428572</v>
      </c>
      <c r="AL43">
        <v>74976</v>
      </c>
      <c r="AM43">
        <v>0.24</v>
      </c>
      <c r="AN43">
        <v>1</v>
      </c>
      <c r="AO43">
        <v>0</v>
      </c>
      <c r="AP43">
        <v>1</v>
      </c>
      <c r="AQ43">
        <v>0</v>
      </c>
      <c r="AR43">
        <v>1</v>
      </c>
      <c r="AS43" t="s">
        <v>96</v>
      </c>
      <c r="AT43" t="s">
        <v>141</v>
      </c>
    </row>
    <row r="44" spans="1:46" x14ac:dyDescent="0.25">
      <c r="A44">
        <v>3</v>
      </c>
      <c r="B44" t="s">
        <v>3</v>
      </c>
      <c r="C44">
        <v>74</v>
      </c>
      <c r="D44">
        <v>36</v>
      </c>
      <c r="E44">
        <v>38</v>
      </c>
      <c r="F44">
        <v>16</v>
      </c>
      <c r="G44">
        <v>50</v>
      </c>
      <c r="H44">
        <v>2</v>
      </c>
      <c r="I44">
        <v>64.7</v>
      </c>
      <c r="J44">
        <v>33.9</v>
      </c>
      <c r="K44">
        <v>9.2999999999999972</v>
      </c>
      <c r="L44">
        <v>620</v>
      </c>
      <c r="M44">
        <v>620</v>
      </c>
      <c r="N44">
        <v>2</v>
      </c>
      <c r="O44">
        <v>11</v>
      </c>
      <c r="P44">
        <v>64</v>
      </c>
      <c r="Q44">
        <v>11</v>
      </c>
      <c r="R44">
        <v>8</v>
      </c>
      <c r="S44">
        <v>88</v>
      </c>
      <c r="T44">
        <v>1</v>
      </c>
      <c r="U44">
        <v>3</v>
      </c>
      <c r="V44">
        <v>89</v>
      </c>
      <c r="W44">
        <v>878</v>
      </c>
      <c r="X44">
        <v>212</v>
      </c>
      <c r="Y44">
        <v>384</v>
      </c>
      <c r="Z44">
        <v>19284</v>
      </c>
      <c r="AA44">
        <v>83</v>
      </c>
      <c r="AB44">
        <v>3176</v>
      </c>
      <c r="AC44">
        <v>825</v>
      </c>
      <c r="AD44">
        <v>246</v>
      </c>
      <c r="AE44">
        <v>123.5</v>
      </c>
      <c r="AF44">
        <v>103.8</v>
      </c>
      <c r="AG44">
        <v>14</v>
      </c>
      <c r="AH44">
        <v>11</v>
      </c>
      <c r="AI44">
        <v>829.6</v>
      </c>
      <c r="AJ44">
        <v>34</v>
      </c>
      <c r="AK44">
        <v>24.400000000000002</v>
      </c>
      <c r="AL44">
        <v>67953</v>
      </c>
      <c r="AM44">
        <v>0.12</v>
      </c>
      <c r="AN44">
        <v>1</v>
      </c>
      <c r="AO44">
        <v>0</v>
      </c>
      <c r="AP44">
        <v>1</v>
      </c>
      <c r="AQ44">
        <v>0</v>
      </c>
      <c r="AR44">
        <v>1</v>
      </c>
      <c r="AS44" t="s">
        <v>96</v>
      </c>
      <c r="AT44" t="s">
        <v>141</v>
      </c>
    </row>
    <row r="45" spans="1:46" x14ac:dyDescent="0.25">
      <c r="A45">
        <v>4</v>
      </c>
      <c r="B45" t="s">
        <v>1</v>
      </c>
      <c r="C45">
        <v>84</v>
      </c>
      <c r="D45">
        <v>38</v>
      </c>
      <c r="E45">
        <v>46</v>
      </c>
      <c r="F45">
        <v>17</v>
      </c>
      <c r="G45">
        <v>44</v>
      </c>
      <c r="H45">
        <v>1</v>
      </c>
      <c r="I45">
        <v>72.900000000000006</v>
      </c>
      <c r="J45">
        <v>33.799999999999997</v>
      </c>
      <c r="K45">
        <v>11.099999999999994</v>
      </c>
      <c r="L45">
        <v>635</v>
      </c>
      <c r="M45">
        <v>635</v>
      </c>
      <c r="N45">
        <v>2</v>
      </c>
      <c r="O45">
        <v>12</v>
      </c>
      <c r="P45">
        <v>75</v>
      </c>
      <c r="Q45">
        <v>9</v>
      </c>
      <c r="R45">
        <v>9</v>
      </c>
      <c r="S45">
        <v>70</v>
      </c>
      <c r="T45">
        <v>0</v>
      </c>
      <c r="U45">
        <v>6</v>
      </c>
      <c r="V45">
        <v>64</v>
      </c>
      <c r="W45">
        <v>788</v>
      </c>
      <c r="X45">
        <v>196</v>
      </c>
      <c r="Y45">
        <v>344</v>
      </c>
      <c r="Z45">
        <v>20367</v>
      </c>
      <c r="AA45">
        <v>106</v>
      </c>
      <c r="AB45">
        <v>3313</v>
      </c>
      <c r="AC45">
        <v>764</v>
      </c>
      <c r="AD45">
        <v>230</v>
      </c>
      <c r="AE45">
        <v>173.88</v>
      </c>
      <c r="AF45">
        <v>184.5</v>
      </c>
      <c r="AG45">
        <v>15</v>
      </c>
      <c r="AH45">
        <v>13</v>
      </c>
      <c r="AI45">
        <v>857.5</v>
      </c>
      <c r="AJ45">
        <v>35</v>
      </c>
      <c r="AK45">
        <v>24.5</v>
      </c>
      <c r="AL45">
        <v>53049</v>
      </c>
      <c r="AM45">
        <v>0.27</v>
      </c>
      <c r="AN45">
        <v>1</v>
      </c>
      <c r="AO45">
        <v>0</v>
      </c>
      <c r="AP45">
        <v>1</v>
      </c>
      <c r="AQ45">
        <v>0</v>
      </c>
      <c r="AR45">
        <v>1</v>
      </c>
      <c r="AS45" t="s">
        <v>96</v>
      </c>
      <c r="AT45" t="s">
        <v>141</v>
      </c>
    </row>
    <row r="46" spans="1:46" x14ac:dyDescent="0.25">
      <c r="A46">
        <v>5</v>
      </c>
      <c r="B46" t="s">
        <v>2</v>
      </c>
      <c r="C46">
        <v>62</v>
      </c>
      <c r="D46">
        <v>38</v>
      </c>
      <c r="E46">
        <v>24</v>
      </c>
      <c r="F46">
        <v>16</v>
      </c>
      <c r="G46">
        <v>42</v>
      </c>
      <c r="H46">
        <v>4</v>
      </c>
      <c r="I46">
        <v>54.4</v>
      </c>
      <c r="J46">
        <v>33.799999999999997</v>
      </c>
      <c r="K46">
        <v>7.6000000000000014</v>
      </c>
      <c r="L46">
        <v>603</v>
      </c>
      <c r="M46">
        <v>603</v>
      </c>
      <c r="N46">
        <v>3</v>
      </c>
      <c r="O46">
        <v>17</v>
      </c>
      <c r="P46">
        <v>52</v>
      </c>
      <c r="Q46">
        <v>10</v>
      </c>
      <c r="R46">
        <v>1</v>
      </c>
      <c r="S46">
        <v>108</v>
      </c>
      <c r="T46">
        <v>2</v>
      </c>
      <c r="U46">
        <v>2</v>
      </c>
      <c r="V46">
        <v>81</v>
      </c>
      <c r="W46">
        <v>842</v>
      </c>
      <c r="X46">
        <v>208</v>
      </c>
      <c r="Y46">
        <v>363</v>
      </c>
      <c r="Z46">
        <v>18967</v>
      </c>
      <c r="AA46">
        <v>70</v>
      </c>
      <c r="AB46">
        <v>3019</v>
      </c>
      <c r="AC46">
        <v>755</v>
      </c>
      <c r="AD46">
        <v>230</v>
      </c>
      <c r="AE46">
        <v>260.5</v>
      </c>
      <c r="AF46">
        <v>194.6</v>
      </c>
      <c r="AG46">
        <v>40</v>
      </c>
      <c r="AH46">
        <v>31</v>
      </c>
      <c r="AI46">
        <v>884.25</v>
      </c>
      <c r="AJ46">
        <v>46</v>
      </c>
      <c r="AK46">
        <v>19.222826086956523</v>
      </c>
      <c r="AL46">
        <v>41282</v>
      </c>
      <c r="AM46">
        <v>7.0000000000000007E-2</v>
      </c>
      <c r="AN46">
        <v>1</v>
      </c>
      <c r="AO46">
        <v>0</v>
      </c>
      <c r="AP46">
        <v>0</v>
      </c>
      <c r="AQ46">
        <v>0</v>
      </c>
      <c r="AR46">
        <v>1</v>
      </c>
      <c r="AS46" t="s">
        <v>96</v>
      </c>
      <c r="AT46" t="s">
        <v>141</v>
      </c>
    </row>
    <row r="47" spans="1:46" x14ac:dyDescent="0.25">
      <c r="A47">
        <v>6</v>
      </c>
      <c r="B47" t="s">
        <v>6</v>
      </c>
      <c r="C47">
        <v>74</v>
      </c>
      <c r="D47">
        <v>51</v>
      </c>
      <c r="E47">
        <v>23</v>
      </c>
      <c r="F47">
        <v>13</v>
      </c>
      <c r="G47">
        <v>57</v>
      </c>
      <c r="H47">
        <v>2</v>
      </c>
      <c r="I47">
        <v>68.3</v>
      </c>
      <c r="J47">
        <v>47.8</v>
      </c>
      <c r="K47">
        <v>5.7000000000000028</v>
      </c>
      <c r="L47">
        <v>589</v>
      </c>
      <c r="M47">
        <v>589</v>
      </c>
      <c r="N47">
        <v>4</v>
      </c>
      <c r="O47">
        <v>13</v>
      </c>
      <c r="P47">
        <v>68</v>
      </c>
      <c r="Q47">
        <v>7</v>
      </c>
      <c r="R47">
        <v>0</v>
      </c>
      <c r="S47">
        <v>89</v>
      </c>
      <c r="T47">
        <v>0</v>
      </c>
      <c r="U47">
        <v>6</v>
      </c>
      <c r="V47">
        <v>94</v>
      </c>
      <c r="W47">
        <v>879</v>
      </c>
      <c r="X47">
        <v>218</v>
      </c>
      <c r="Y47">
        <v>383</v>
      </c>
      <c r="Z47">
        <v>20878</v>
      </c>
      <c r="AA47">
        <v>117</v>
      </c>
      <c r="AB47">
        <v>3089</v>
      </c>
      <c r="AC47">
        <v>572</v>
      </c>
      <c r="AD47">
        <v>225</v>
      </c>
      <c r="AE47">
        <v>152.85</v>
      </c>
      <c r="AF47">
        <v>162</v>
      </c>
      <c r="AG47">
        <v>10</v>
      </c>
      <c r="AH47">
        <v>16</v>
      </c>
      <c r="AI47">
        <v>694</v>
      </c>
      <c r="AJ47">
        <v>45</v>
      </c>
      <c r="AK47">
        <v>15.422222222222222</v>
      </c>
      <c r="AL47">
        <v>59323</v>
      </c>
      <c r="AM47">
        <v>0.34</v>
      </c>
      <c r="AN47">
        <v>1</v>
      </c>
      <c r="AO47">
        <v>0</v>
      </c>
      <c r="AP47">
        <v>0</v>
      </c>
      <c r="AQ47">
        <v>0</v>
      </c>
      <c r="AR47">
        <v>1</v>
      </c>
      <c r="AS47" t="s">
        <v>96</v>
      </c>
      <c r="AT47" t="s">
        <v>141</v>
      </c>
    </row>
    <row r="48" spans="1:46" x14ac:dyDescent="0.25">
      <c r="A48">
        <v>7</v>
      </c>
      <c r="B48" t="s">
        <v>17</v>
      </c>
      <c r="C48">
        <v>36</v>
      </c>
      <c r="D48">
        <v>39</v>
      </c>
      <c r="E48">
        <v>-3</v>
      </c>
      <c r="F48">
        <v>12</v>
      </c>
      <c r="G48">
        <v>65</v>
      </c>
      <c r="H48">
        <v>0</v>
      </c>
      <c r="I48">
        <v>32.299999999999997</v>
      </c>
      <c r="J48">
        <v>51.2</v>
      </c>
      <c r="K48">
        <v>3.7000000000000028</v>
      </c>
      <c r="L48">
        <v>378</v>
      </c>
      <c r="M48">
        <v>378</v>
      </c>
      <c r="N48">
        <v>0</v>
      </c>
      <c r="O48">
        <v>10</v>
      </c>
      <c r="P48">
        <v>32</v>
      </c>
      <c r="Q48">
        <v>4</v>
      </c>
      <c r="R48">
        <v>0</v>
      </c>
      <c r="S48">
        <v>100</v>
      </c>
      <c r="T48">
        <v>1</v>
      </c>
      <c r="U48">
        <v>5</v>
      </c>
      <c r="V48">
        <v>121</v>
      </c>
      <c r="W48">
        <v>1300</v>
      </c>
      <c r="X48">
        <v>204</v>
      </c>
      <c r="Y48">
        <v>350</v>
      </c>
      <c r="Z48">
        <v>10524</v>
      </c>
      <c r="AA48">
        <v>18</v>
      </c>
      <c r="AB48">
        <v>2245</v>
      </c>
      <c r="AC48">
        <v>707</v>
      </c>
      <c r="AD48">
        <v>167</v>
      </c>
      <c r="AE48">
        <v>35.74</v>
      </c>
      <c r="AF48">
        <v>50</v>
      </c>
      <c r="AG48">
        <v>18</v>
      </c>
      <c r="AH48">
        <v>21</v>
      </c>
      <c r="AI48">
        <v>169.3</v>
      </c>
      <c r="AJ48">
        <v>30</v>
      </c>
      <c r="AK48">
        <v>5.6433333333333335</v>
      </c>
      <c r="AL48">
        <v>20688</v>
      </c>
      <c r="AM48">
        <v>0.01</v>
      </c>
      <c r="AN48">
        <v>0</v>
      </c>
      <c r="AO48">
        <v>0</v>
      </c>
      <c r="AP48">
        <v>0</v>
      </c>
      <c r="AQ48">
        <v>0</v>
      </c>
      <c r="AR48">
        <v>0</v>
      </c>
      <c r="AS48" t="s">
        <v>96</v>
      </c>
      <c r="AT48" t="s">
        <v>141</v>
      </c>
    </row>
    <row r="49" spans="1:46" x14ac:dyDescent="0.25">
      <c r="A49">
        <v>8</v>
      </c>
      <c r="B49" t="s">
        <v>15</v>
      </c>
      <c r="C49">
        <v>44</v>
      </c>
      <c r="D49">
        <v>58</v>
      </c>
      <c r="E49">
        <v>-14</v>
      </c>
      <c r="F49">
        <v>10</v>
      </c>
      <c r="G49">
        <v>51</v>
      </c>
      <c r="H49">
        <v>3</v>
      </c>
      <c r="I49">
        <v>40.5</v>
      </c>
      <c r="J49">
        <v>52.4</v>
      </c>
      <c r="K49">
        <v>3.5</v>
      </c>
      <c r="L49">
        <v>351</v>
      </c>
      <c r="M49">
        <v>351</v>
      </c>
      <c r="N49">
        <v>5</v>
      </c>
      <c r="O49">
        <v>8</v>
      </c>
      <c r="P49">
        <v>36</v>
      </c>
      <c r="Q49">
        <v>8</v>
      </c>
      <c r="R49">
        <v>2</v>
      </c>
      <c r="S49">
        <v>82</v>
      </c>
      <c r="T49">
        <v>0</v>
      </c>
      <c r="U49">
        <v>5</v>
      </c>
      <c r="V49">
        <v>119</v>
      </c>
      <c r="W49">
        <v>1308</v>
      </c>
      <c r="X49">
        <v>223</v>
      </c>
      <c r="Y49">
        <v>460</v>
      </c>
      <c r="Z49">
        <v>11953</v>
      </c>
      <c r="AA49">
        <v>25</v>
      </c>
      <c r="AB49">
        <v>2212</v>
      </c>
      <c r="AC49">
        <v>629</v>
      </c>
      <c r="AD49">
        <v>150</v>
      </c>
      <c r="AE49">
        <v>203.2</v>
      </c>
      <c r="AF49">
        <v>126.38</v>
      </c>
      <c r="AG49">
        <v>23</v>
      </c>
      <c r="AH49">
        <v>20</v>
      </c>
      <c r="AI49">
        <v>381.25</v>
      </c>
      <c r="AJ49">
        <v>48</v>
      </c>
      <c r="AK49">
        <v>7.942708333333333</v>
      </c>
      <c r="AL49">
        <v>38797</v>
      </c>
      <c r="AM49">
        <v>0.26</v>
      </c>
      <c r="AN49">
        <v>1</v>
      </c>
      <c r="AO49">
        <v>0</v>
      </c>
      <c r="AP49">
        <v>0</v>
      </c>
      <c r="AQ49">
        <v>0</v>
      </c>
      <c r="AR49">
        <v>0</v>
      </c>
      <c r="AS49" t="s">
        <v>96</v>
      </c>
      <c r="AT49" t="s">
        <v>141</v>
      </c>
    </row>
    <row r="50" spans="1:46" x14ac:dyDescent="0.25">
      <c r="A50">
        <v>9</v>
      </c>
      <c r="B50" t="s">
        <v>7</v>
      </c>
      <c r="C50">
        <v>56</v>
      </c>
      <c r="D50">
        <v>60</v>
      </c>
      <c r="E50">
        <v>-4</v>
      </c>
      <c r="F50">
        <v>9</v>
      </c>
      <c r="G50">
        <v>52</v>
      </c>
      <c r="H50">
        <v>5</v>
      </c>
      <c r="I50">
        <v>50</v>
      </c>
      <c r="J50">
        <v>48.1</v>
      </c>
      <c r="K50">
        <v>6</v>
      </c>
      <c r="L50">
        <v>417</v>
      </c>
      <c r="M50">
        <v>417</v>
      </c>
      <c r="N50">
        <v>5</v>
      </c>
      <c r="O50">
        <v>9</v>
      </c>
      <c r="P50">
        <v>49</v>
      </c>
      <c r="Q50">
        <v>7</v>
      </c>
      <c r="R50">
        <v>7</v>
      </c>
      <c r="S50">
        <v>92</v>
      </c>
      <c r="T50">
        <v>2</v>
      </c>
      <c r="U50">
        <v>4</v>
      </c>
      <c r="V50">
        <v>104</v>
      </c>
      <c r="W50">
        <v>1007</v>
      </c>
      <c r="X50">
        <v>208</v>
      </c>
      <c r="Y50">
        <v>364</v>
      </c>
      <c r="Z50">
        <v>12357</v>
      </c>
      <c r="AA50">
        <v>63</v>
      </c>
      <c r="AB50">
        <v>2094</v>
      </c>
      <c r="AC50">
        <v>744</v>
      </c>
      <c r="AD50">
        <v>203</v>
      </c>
      <c r="AE50">
        <v>83.85</v>
      </c>
      <c r="AF50">
        <v>50.1</v>
      </c>
      <c r="AG50">
        <v>14</v>
      </c>
      <c r="AH50">
        <v>13</v>
      </c>
      <c r="AI50">
        <v>304.25</v>
      </c>
      <c r="AJ50">
        <v>34</v>
      </c>
      <c r="AK50">
        <v>8.9485294117647065</v>
      </c>
      <c r="AL50">
        <v>31583</v>
      </c>
      <c r="AM50">
        <v>0.09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96</v>
      </c>
      <c r="AT50" t="s">
        <v>141</v>
      </c>
    </row>
    <row r="51" spans="1:46" x14ac:dyDescent="0.25">
      <c r="A51">
        <v>10</v>
      </c>
      <c r="B51" t="s">
        <v>12</v>
      </c>
      <c r="C51">
        <v>39</v>
      </c>
      <c r="D51">
        <v>47</v>
      </c>
      <c r="E51">
        <v>-8</v>
      </c>
      <c r="F51">
        <v>9</v>
      </c>
      <c r="G51">
        <v>52</v>
      </c>
      <c r="H51">
        <v>2</v>
      </c>
      <c r="I51">
        <v>41.6</v>
      </c>
      <c r="J51">
        <v>52.4</v>
      </c>
      <c r="K51">
        <v>-2.6000000000000014</v>
      </c>
      <c r="L51">
        <v>450</v>
      </c>
      <c r="M51">
        <v>450</v>
      </c>
      <c r="N51">
        <v>0</v>
      </c>
      <c r="O51">
        <v>7</v>
      </c>
      <c r="P51">
        <v>34</v>
      </c>
      <c r="Q51">
        <v>5</v>
      </c>
      <c r="R51">
        <v>5</v>
      </c>
      <c r="S51">
        <v>63</v>
      </c>
      <c r="T51">
        <v>3</v>
      </c>
      <c r="U51">
        <v>6</v>
      </c>
      <c r="V51">
        <v>102</v>
      </c>
      <c r="W51">
        <v>1219</v>
      </c>
      <c r="X51">
        <v>221</v>
      </c>
      <c r="Y51">
        <v>409</v>
      </c>
      <c r="Z51">
        <v>11071</v>
      </c>
      <c r="AA51">
        <v>67</v>
      </c>
      <c r="AB51">
        <v>2018</v>
      </c>
      <c r="AC51">
        <v>616</v>
      </c>
      <c r="AD51">
        <v>167</v>
      </c>
      <c r="AE51">
        <v>46.5</v>
      </c>
      <c r="AF51">
        <v>21.22</v>
      </c>
      <c r="AG51">
        <v>27</v>
      </c>
      <c r="AH51">
        <v>29</v>
      </c>
      <c r="AI51">
        <v>208.28</v>
      </c>
      <c r="AJ51">
        <v>37</v>
      </c>
      <c r="AK51">
        <v>5.629189189189189</v>
      </c>
      <c r="AL51">
        <v>51992</v>
      </c>
      <c r="AM51">
        <v>0.18</v>
      </c>
      <c r="AN51">
        <v>0</v>
      </c>
      <c r="AO51">
        <v>1</v>
      </c>
      <c r="AP51">
        <v>0</v>
      </c>
      <c r="AQ51">
        <v>0</v>
      </c>
      <c r="AR51">
        <v>0</v>
      </c>
      <c r="AS51" t="s">
        <v>96</v>
      </c>
      <c r="AT51" t="s">
        <v>141</v>
      </c>
    </row>
    <row r="52" spans="1:46" x14ac:dyDescent="0.25">
      <c r="A52">
        <v>11</v>
      </c>
      <c r="B52" t="s">
        <v>9</v>
      </c>
      <c r="C52">
        <v>45</v>
      </c>
      <c r="D52">
        <v>55</v>
      </c>
      <c r="E52">
        <v>-10</v>
      </c>
      <c r="F52">
        <v>9</v>
      </c>
      <c r="G52">
        <v>72</v>
      </c>
      <c r="H52">
        <v>0</v>
      </c>
      <c r="I52">
        <v>53.5</v>
      </c>
      <c r="J52">
        <v>48.2</v>
      </c>
      <c r="K52">
        <v>-8.5</v>
      </c>
      <c r="L52">
        <v>466</v>
      </c>
      <c r="M52">
        <v>466</v>
      </c>
      <c r="N52">
        <v>8</v>
      </c>
      <c r="O52">
        <v>4</v>
      </c>
      <c r="P52">
        <v>39</v>
      </c>
      <c r="Q52">
        <v>6</v>
      </c>
      <c r="R52">
        <v>3</v>
      </c>
      <c r="S52">
        <v>56</v>
      </c>
      <c r="T52">
        <v>2</v>
      </c>
      <c r="U52">
        <v>2</v>
      </c>
      <c r="V52">
        <v>117</v>
      </c>
      <c r="W52">
        <v>1110</v>
      </c>
      <c r="X52">
        <v>260</v>
      </c>
      <c r="Y52">
        <v>425</v>
      </c>
      <c r="Z52">
        <v>11809</v>
      </c>
      <c r="AA52">
        <v>30</v>
      </c>
      <c r="AB52">
        <v>2091</v>
      </c>
      <c r="AC52">
        <v>703</v>
      </c>
      <c r="AD52">
        <v>210</v>
      </c>
      <c r="AE52">
        <v>48.95</v>
      </c>
      <c r="AF52">
        <v>3</v>
      </c>
      <c r="AG52">
        <v>15</v>
      </c>
      <c r="AH52">
        <v>18</v>
      </c>
      <c r="AI52">
        <v>220.73</v>
      </c>
      <c r="AJ52">
        <v>41</v>
      </c>
      <c r="AK52">
        <v>5.383658536585366</v>
      </c>
      <c r="AL52">
        <v>25063</v>
      </c>
      <c r="AM52">
        <v>0.16</v>
      </c>
      <c r="AN52">
        <v>0</v>
      </c>
      <c r="AO52">
        <v>0</v>
      </c>
      <c r="AP52">
        <v>0</v>
      </c>
      <c r="AQ52">
        <v>0</v>
      </c>
      <c r="AR52">
        <v>0</v>
      </c>
      <c r="AS52" t="s">
        <v>96</v>
      </c>
      <c r="AT52" t="s">
        <v>141</v>
      </c>
    </row>
    <row r="53" spans="1:46" x14ac:dyDescent="0.25">
      <c r="A53">
        <v>12</v>
      </c>
      <c r="B53" t="s">
        <v>85</v>
      </c>
      <c r="C53">
        <v>45</v>
      </c>
      <c r="D53">
        <v>61</v>
      </c>
      <c r="E53">
        <v>-16</v>
      </c>
      <c r="F53">
        <v>6</v>
      </c>
      <c r="G53">
        <v>55</v>
      </c>
      <c r="H53">
        <v>1</v>
      </c>
      <c r="I53">
        <v>38.799999999999997</v>
      </c>
      <c r="J53">
        <v>59.2</v>
      </c>
      <c r="K53">
        <v>6.2000000000000028</v>
      </c>
      <c r="L53">
        <v>462</v>
      </c>
      <c r="M53">
        <v>462</v>
      </c>
      <c r="N53">
        <v>3</v>
      </c>
      <c r="O53">
        <v>4</v>
      </c>
      <c r="P53">
        <v>38</v>
      </c>
      <c r="Q53">
        <v>7</v>
      </c>
      <c r="R53">
        <v>0</v>
      </c>
      <c r="S53">
        <v>52</v>
      </c>
      <c r="T53">
        <v>1</v>
      </c>
      <c r="U53">
        <v>3</v>
      </c>
      <c r="V53">
        <v>109</v>
      </c>
      <c r="W53">
        <v>1129</v>
      </c>
      <c r="X53">
        <v>198</v>
      </c>
      <c r="Y53">
        <v>339</v>
      </c>
      <c r="Z53">
        <v>13450</v>
      </c>
      <c r="AA53">
        <v>37</v>
      </c>
      <c r="AB53">
        <v>2257</v>
      </c>
      <c r="AC53">
        <v>707</v>
      </c>
      <c r="AD53">
        <v>218</v>
      </c>
      <c r="AE53">
        <v>34.299999999999997</v>
      </c>
      <c r="AF53">
        <v>0</v>
      </c>
      <c r="AG53">
        <v>15</v>
      </c>
      <c r="AH53">
        <v>14</v>
      </c>
      <c r="AI53">
        <v>144.5</v>
      </c>
      <c r="AJ53">
        <v>25</v>
      </c>
      <c r="AK53">
        <v>5.78</v>
      </c>
      <c r="AL53">
        <v>10641</v>
      </c>
      <c r="AM53">
        <v>0.09</v>
      </c>
      <c r="AN53">
        <v>0</v>
      </c>
      <c r="AO53">
        <v>0</v>
      </c>
      <c r="AP53">
        <v>0</v>
      </c>
      <c r="AQ53">
        <v>0</v>
      </c>
      <c r="AR53">
        <v>0</v>
      </c>
      <c r="AS53" t="s">
        <v>96</v>
      </c>
      <c r="AT53" t="s">
        <v>141</v>
      </c>
    </row>
    <row r="54" spans="1:46" x14ac:dyDescent="0.25">
      <c r="A54">
        <v>13</v>
      </c>
      <c r="B54" t="s">
        <v>5</v>
      </c>
      <c r="C54">
        <v>48</v>
      </c>
      <c r="D54">
        <v>68</v>
      </c>
      <c r="E54">
        <v>-20</v>
      </c>
      <c r="F54">
        <v>10</v>
      </c>
      <c r="G54">
        <v>73</v>
      </c>
      <c r="H54">
        <v>2</v>
      </c>
      <c r="I54">
        <v>36.700000000000003</v>
      </c>
      <c r="J54">
        <v>55.1</v>
      </c>
      <c r="K54">
        <v>11.299999999999997</v>
      </c>
      <c r="L54">
        <v>368</v>
      </c>
      <c r="M54">
        <v>368</v>
      </c>
      <c r="N54">
        <v>2</v>
      </c>
      <c r="O54">
        <v>6</v>
      </c>
      <c r="P54">
        <v>39</v>
      </c>
      <c r="Q54">
        <v>10</v>
      </c>
      <c r="R54">
        <v>4</v>
      </c>
      <c r="S54">
        <v>97</v>
      </c>
      <c r="T54">
        <v>1</v>
      </c>
      <c r="U54">
        <v>6</v>
      </c>
      <c r="V54">
        <v>119</v>
      </c>
      <c r="W54">
        <v>1085</v>
      </c>
      <c r="X54">
        <v>235</v>
      </c>
      <c r="Y54">
        <v>379</v>
      </c>
      <c r="Z54">
        <v>11779</v>
      </c>
      <c r="AA54">
        <v>51</v>
      </c>
      <c r="AB54">
        <v>2177</v>
      </c>
      <c r="AC54">
        <v>733</v>
      </c>
      <c r="AD54">
        <v>161</v>
      </c>
      <c r="AE54">
        <v>56.8</v>
      </c>
      <c r="AF54">
        <v>69.02</v>
      </c>
      <c r="AG54">
        <v>15</v>
      </c>
      <c r="AH54">
        <v>25</v>
      </c>
      <c r="AI54">
        <v>260.60000000000002</v>
      </c>
      <c r="AJ54">
        <v>41</v>
      </c>
      <c r="AK54">
        <v>6.3560975609756101</v>
      </c>
      <c r="AL54">
        <v>56885</v>
      </c>
      <c r="AM54">
        <v>0.12</v>
      </c>
      <c r="AN54">
        <v>0</v>
      </c>
      <c r="AO54">
        <v>0</v>
      </c>
      <c r="AP54">
        <v>0</v>
      </c>
      <c r="AQ54">
        <v>0</v>
      </c>
      <c r="AR54">
        <v>0</v>
      </c>
      <c r="AS54" t="s">
        <v>96</v>
      </c>
      <c r="AT54" t="s">
        <v>141</v>
      </c>
    </row>
    <row r="55" spans="1:46" x14ac:dyDescent="0.25">
      <c r="A55">
        <v>14</v>
      </c>
      <c r="B55" t="s">
        <v>18</v>
      </c>
      <c r="C55">
        <v>44</v>
      </c>
      <c r="D55">
        <v>64</v>
      </c>
      <c r="E55">
        <v>-20</v>
      </c>
      <c r="F55">
        <v>9</v>
      </c>
      <c r="G55">
        <v>63</v>
      </c>
      <c r="H55">
        <v>4</v>
      </c>
      <c r="I55">
        <v>45</v>
      </c>
      <c r="J55">
        <v>51.8</v>
      </c>
      <c r="K55">
        <v>-1</v>
      </c>
      <c r="L55">
        <v>434</v>
      </c>
      <c r="M55">
        <v>434</v>
      </c>
      <c r="N55">
        <v>3</v>
      </c>
      <c r="O55">
        <v>9</v>
      </c>
      <c r="P55">
        <v>38</v>
      </c>
      <c r="Q55">
        <v>6</v>
      </c>
      <c r="R55">
        <v>1</v>
      </c>
      <c r="S55">
        <v>74</v>
      </c>
      <c r="T55">
        <v>1</v>
      </c>
      <c r="U55">
        <v>6</v>
      </c>
      <c r="V55">
        <v>93</v>
      </c>
      <c r="W55">
        <v>997</v>
      </c>
      <c r="X55">
        <v>237</v>
      </c>
      <c r="Y55">
        <v>441</v>
      </c>
      <c r="Z55">
        <v>12758</v>
      </c>
      <c r="AA55">
        <v>27</v>
      </c>
      <c r="AB55">
        <v>2241</v>
      </c>
      <c r="AC55">
        <v>713</v>
      </c>
      <c r="AD55">
        <v>183</v>
      </c>
      <c r="AE55">
        <v>73.400000000000006</v>
      </c>
      <c r="AF55">
        <v>18.739999999999998</v>
      </c>
      <c r="AG55">
        <v>32</v>
      </c>
      <c r="AH55">
        <v>30</v>
      </c>
      <c r="AI55">
        <v>196</v>
      </c>
      <c r="AJ55">
        <v>37</v>
      </c>
      <c r="AK55" s="8">
        <v>5.2972972972972974</v>
      </c>
      <c r="AL55">
        <v>20231</v>
      </c>
      <c r="AM55">
        <v>0.13</v>
      </c>
      <c r="AN55">
        <v>0</v>
      </c>
      <c r="AO55">
        <v>0</v>
      </c>
      <c r="AP55">
        <v>0</v>
      </c>
      <c r="AQ55">
        <v>0</v>
      </c>
      <c r="AR55">
        <v>0</v>
      </c>
      <c r="AS55" t="s">
        <v>96</v>
      </c>
      <c r="AT55" t="s">
        <v>141</v>
      </c>
    </row>
    <row r="56" spans="1:46" x14ac:dyDescent="0.25">
      <c r="A56">
        <v>15</v>
      </c>
      <c r="B56" t="s">
        <v>14</v>
      </c>
      <c r="C56">
        <v>34</v>
      </c>
      <c r="D56">
        <v>54</v>
      </c>
      <c r="E56">
        <v>-20</v>
      </c>
      <c r="F56">
        <v>10</v>
      </c>
      <c r="G56">
        <v>54</v>
      </c>
      <c r="H56">
        <v>2</v>
      </c>
      <c r="I56">
        <v>37</v>
      </c>
      <c r="J56">
        <v>50.8</v>
      </c>
      <c r="K56">
        <v>-3</v>
      </c>
      <c r="L56">
        <v>377</v>
      </c>
      <c r="M56">
        <v>377</v>
      </c>
      <c r="N56">
        <v>5</v>
      </c>
      <c r="O56">
        <v>7</v>
      </c>
      <c r="P56">
        <v>30</v>
      </c>
      <c r="Q56">
        <v>4</v>
      </c>
      <c r="R56">
        <v>0</v>
      </c>
      <c r="S56">
        <v>98</v>
      </c>
      <c r="T56">
        <v>5</v>
      </c>
      <c r="U56">
        <v>3</v>
      </c>
      <c r="V56">
        <v>121</v>
      </c>
      <c r="W56">
        <v>1182</v>
      </c>
      <c r="X56">
        <v>205</v>
      </c>
      <c r="Y56">
        <v>413</v>
      </c>
      <c r="Z56">
        <v>11838</v>
      </c>
      <c r="AA56">
        <v>32</v>
      </c>
      <c r="AB56">
        <v>2204</v>
      </c>
      <c r="AC56">
        <v>680</v>
      </c>
      <c r="AD56">
        <v>163</v>
      </c>
      <c r="AE56">
        <v>66.5</v>
      </c>
      <c r="AF56">
        <v>0.4</v>
      </c>
      <c r="AG56">
        <v>23</v>
      </c>
      <c r="AH56">
        <v>22</v>
      </c>
      <c r="AI56">
        <v>148.19999999999999</v>
      </c>
      <c r="AJ56">
        <v>39</v>
      </c>
      <c r="AK56">
        <v>3.8</v>
      </c>
      <c r="AL56">
        <v>30403</v>
      </c>
      <c r="AM56">
        <v>0.25</v>
      </c>
      <c r="AN56">
        <v>0</v>
      </c>
      <c r="AO56">
        <v>1</v>
      </c>
      <c r="AP56">
        <v>0</v>
      </c>
      <c r="AQ56">
        <v>0</v>
      </c>
      <c r="AR56">
        <v>0</v>
      </c>
      <c r="AS56" t="s">
        <v>96</v>
      </c>
      <c r="AT56" t="s">
        <v>141</v>
      </c>
    </row>
    <row r="57" spans="1:46" x14ac:dyDescent="0.25">
      <c r="A57">
        <v>16</v>
      </c>
      <c r="B57" t="s">
        <v>34</v>
      </c>
      <c r="C57">
        <v>28</v>
      </c>
      <c r="D57">
        <v>58</v>
      </c>
      <c r="E57">
        <v>-30</v>
      </c>
      <c r="F57">
        <v>10</v>
      </c>
      <c r="G57">
        <v>62</v>
      </c>
      <c r="H57">
        <v>3</v>
      </c>
      <c r="I57">
        <v>31.3</v>
      </c>
      <c r="J57">
        <v>48.5</v>
      </c>
      <c r="K57">
        <v>-3.3000000000000007</v>
      </c>
      <c r="L57">
        <v>360</v>
      </c>
      <c r="M57">
        <v>360</v>
      </c>
      <c r="N57">
        <v>2</v>
      </c>
      <c r="O57">
        <v>5</v>
      </c>
      <c r="P57">
        <v>27</v>
      </c>
      <c r="Q57">
        <v>1</v>
      </c>
      <c r="R57">
        <v>2</v>
      </c>
      <c r="S57">
        <v>67</v>
      </c>
      <c r="T57">
        <v>1</v>
      </c>
      <c r="U57">
        <v>6</v>
      </c>
      <c r="V57">
        <v>99</v>
      </c>
      <c r="W57">
        <v>1129</v>
      </c>
      <c r="X57">
        <v>249</v>
      </c>
      <c r="Y57">
        <v>397</v>
      </c>
      <c r="Z57">
        <v>12036</v>
      </c>
      <c r="AA57">
        <v>26</v>
      </c>
      <c r="AB57">
        <v>2267</v>
      </c>
      <c r="AC57">
        <v>765</v>
      </c>
      <c r="AD57">
        <v>165</v>
      </c>
      <c r="AE57">
        <v>56.75</v>
      </c>
      <c r="AF57">
        <v>6.46</v>
      </c>
      <c r="AG57">
        <v>22</v>
      </c>
      <c r="AH57">
        <v>16</v>
      </c>
      <c r="AI57">
        <v>106.05</v>
      </c>
      <c r="AJ57">
        <v>35</v>
      </c>
      <c r="AK57">
        <v>3.03</v>
      </c>
      <c r="AL57">
        <v>24040</v>
      </c>
      <c r="AM57">
        <v>0.14000000000000001</v>
      </c>
      <c r="AN57">
        <v>0</v>
      </c>
      <c r="AO57">
        <v>1</v>
      </c>
      <c r="AP57">
        <v>0</v>
      </c>
      <c r="AQ57">
        <v>0</v>
      </c>
      <c r="AR57">
        <v>0</v>
      </c>
      <c r="AS57" t="s">
        <v>96</v>
      </c>
      <c r="AT57" t="s">
        <v>141</v>
      </c>
    </row>
    <row r="58" spans="1:46" x14ac:dyDescent="0.25">
      <c r="A58">
        <v>17</v>
      </c>
      <c r="B58" t="s">
        <v>11</v>
      </c>
      <c r="C58">
        <v>37</v>
      </c>
      <c r="D58">
        <v>56</v>
      </c>
      <c r="E58">
        <v>-19</v>
      </c>
      <c r="F58">
        <v>8</v>
      </c>
      <c r="G58">
        <v>63</v>
      </c>
      <c r="H58">
        <v>2</v>
      </c>
      <c r="I58">
        <v>39.9</v>
      </c>
      <c r="J58">
        <v>45.2</v>
      </c>
      <c r="K58">
        <v>-2.8999999999999986</v>
      </c>
      <c r="L58">
        <v>447</v>
      </c>
      <c r="M58">
        <v>447</v>
      </c>
      <c r="N58">
        <v>3</v>
      </c>
      <c r="O58">
        <v>7</v>
      </c>
      <c r="P58">
        <v>34</v>
      </c>
      <c r="Q58">
        <v>3</v>
      </c>
      <c r="R58">
        <v>2</v>
      </c>
      <c r="S58">
        <v>73</v>
      </c>
      <c r="T58">
        <v>0</v>
      </c>
      <c r="U58">
        <v>2</v>
      </c>
      <c r="V58">
        <v>108</v>
      </c>
      <c r="W58">
        <v>1034</v>
      </c>
      <c r="X58">
        <v>244</v>
      </c>
      <c r="Y58">
        <v>416</v>
      </c>
      <c r="Z58">
        <v>14336</v>
      </c>
      <c r="AA58">
        <v>53</v>
      </c>
      <c r="AB58">
        <v>2589</v>
      </c>
      <c r="AC58">
        <v>800</v>
      </c>
      <c r="AD58">
        <v>227</v>
      </c>
      <c r="AE58">
        <v>61.25</v>
      </c>
      <c r="AF58">
        <v>98.35</v>
      </c>
      <c r="AG58">
        <v>12</v>
      </c>
      <c r="AH58">
        <v>14</v>
      </c>
      <c r="AI58">
        <v>297</v>
      </c>
      <c r="AJ58">
        <v>29</v>
      </c>
      <c r="AK58">
        <v>10.241379310344827</v>
      </c>
      <c r="AL58">
        <v>30794</v>
      </c>
      <c r="AM58">
        <v>0.08</v>
      </c>
      <c r="AN58">
        <v>0</v>
      </c>
      <c r="AO58">
        <v>0</v>
      </c>
      <c r="AP58">
        <v>0</v>
      </c>
      <c r="AQ58">
        <v>0</v>
      </c>
      <c r="AR58">
        <v>0</v>
      </c>
      <c r="AS58" t="s">
        <v>96</v>
      </c>
      <c r="AT58" t="s">
        <v>141</v>
      </c>
    </row>
    <row r="59" spans="1:46" x14ac:dyDescent="0.25">
      <c r="A59">
        <v>18</v>
      </c>
      <c r="B59" t="s">
        <v>36</v>
      </c>
      <c r="C59">
        <v>28</v>
      </c>
      <c r="D59">
        <v>56</v>
      </c>
      <c r="E59">
        <v>-28</v>
      </c>
      <c r="F59">
        <v>9</v>
      </c>
      <c r="G59">
        <v>51</v>
      </c>
      <c r="H59">
        <v>1</v>
      </c>
      <c r="I59">
        <v>31.6</v>
      </c>
      <c r="J59">
        <v>58.6</v>
      </c>
      <c r="K59">
        <v>-3.6000000000000014</v>
      </c>
      <c r="L59">
        <v>338</v>
      </c>
      <c r="M59">
        <v>338</v>
      </c>
      <c r="N59">
        <v>1</v>
      </c>
      <c r="O59">
        <v>3</v>
      </c>
      <c r="P59">
        <v>24</v>
      </c>
      <c r="Q59">
        <v>4</v>
      </c>
      <c r="R59">
        <v>0</v>
      </c>
      <c r="S59">
        <v>38</v>
      </c>
      <c r="T59">
        <v>2</v>
      </c>
      <c r="U59">
        <v>6</v>
      </c>
      <c r="V59">
        <v>133</v>
      </c>
      <c r="W59">
        <v>1019</v>
      </c>
      <c r="X59">
        <v>221</v>
      </c>
      <c r="Y59">
        <v>377</v>
      </c>
      <c r="Z59">
        <v>13223</v>
      </c>
      <c r="AA59">
        <v>23</v>
      </c>
      <c r="AB59">
        <v>2582</v>
      </c>
      <c r="AC59">
        <v>694</v>
      </c>
      <c r="AD59">
        <v>150</v>
      </c>
      <c r="AE59">
        <v>73.39</v>
      </c>
      <c r="AF59">
        <v>81.099999999999994</v>
      </c>
      <c r="AG59">
        <v>21</v>
      </c>
      <c r="AH59">
        <v>24</v>
      </c>
      <c r="AI59">
        <v>165.49</v>
      </c>
      <c r="AJ59">
        <v>36</v>
      </c>
      <c r="AK59">
        <v>4.5969444444444445</v>
      </c>
      <c r="AL59">
        <v>20623</v>
      </c>
      <c r="AM59">
        <v>0.17</v>
      </c>
      <c r="AN59">
        <v>0</v>
      </c>
      <c r="AO59">
        <v>0</v>
      </c>
      <c r="AP59">
        <v>0</v>
      </c>
      <c r="AQ59">
        <v>1</v>
      </c>
      <c r="AR59">
        <v>0</v>
      </c>
      <c r="AS59" t="s">
        <v>96</v>
      </c>
      <c r="AT59" t="s">
        <v>141</v>
      </c>
    </row>
    <row r="60" spans="1:46" x14ac:dyDescent="0.25">
      <c r="A60">
        <v>19</v>
      </c>
      <c r="B60" t="s">
        <v>37</v>
      </c>
      <c r="C60">
        <v>35</v>
      </c>
      <c r="D60">
        <v>68</v>
      </c>
      <c r="E60">
        <v>-33</v>
      </c>
      <c r="F60">
        <v>6</v>
      </c>
      <c r="G60">
        <v>62</v>
      </c>
      <c r="H60">
        <v>1</v>
      </c>
      <c r="I60">
        <v>36.5</v>
      </c>
      <c r="J60">
        <v>62.5</v>
      </c>
      <c r="K60">
        <v>-1.5</v>
      </c>
      <c r="L60">
        <v>380</v>
      </c>
      <c r="M60">
        <v>380</v>
      </c>
      <c r="N60">
        <v>0</v>
      </c>
      <c r="O60">
        <v>8</v>
      </c>
      <c r="P60">
        <v>28</v>
      </c>
      <c r="Q60">
        <v>8</v>
      </c>
      <c r="R60">
        <v>2</v>
      </c>
      <c r="S60">
        <v>87</v>
      </c>
      <c r="T60">
        <v>2</v>
      </c>
      <c r="U60">
        <v>5</v>
      </c>
      <c r="V60">
        <v>150</v>
      </c>
      <c r="W60">
        <v>1265</v>
      </c>
      <c r="X60">
        <v>228</v>
      </c>
      <c r="Y60">
        <v>436</v>
      </c>
      <c r="Z60">
        <v>10122</v>
      </c>
      <c r="AA60">
        <v>33</v>
      </c>
      <c r="AB60">
        <v>1979</v>
      </c>
      <c r="AC60">
        <v>598</v>
      </c>
      <c r="AD60">
        <v>136</v>
      </c>
      <c r="AE60">
        <v>57.7</v>
      </c>
      <c r="AF60">
        <v>35.14</v>
      </c>
      <c r="AG60">
        <v>18</v>
      </c>
      <c r="AH60">
        <v>17</v>
      </c>
      <c r="AI60">
        <v>192.45</v>
      </c>
      <c r="AJ60">
        <v>45</v>
      </c>
      <c r="AK60">
        <v>4.2766666666666664</v>
      </c>
      <c r="AL60">
        <v>29280</v>
      </c>
      <c r="AM60">
        <v>0.13</v>
      </c>
      <c r="AN60">
        <v>0</v>
      </c>
      <c r="AO60">
        <v>0</v>
      </c>
      <c r="AP60">
        <v>0</v>
      </c>
      <c r="AQ60">
        <v>1</v>
      </c>
      <c r="AR60">
        <v>0</v>
      </c>
      <c r="AS60" t="s">
        <v>96</v>
      </c>
      <c r="AT60" t="s">
        <v>141</v>
      </c>
    </row>
    <row r="61" spans="1:46" x14ac:dyDescent="0.25">
      <c r="A61">
        <v>20</v>
      </c>
      <c r="B61" t="s">
        <v>28</v>
      </c>
      <c r="C61">
        <v>31</v>
      </c>
      <c r="D61">
        <v>56</v>
      </c>
      <c r="E61">
        <v>-25</v>
      </c>
      <c r="F61">
        <v>10</v>
      </c>
      <c r="G61">
        <v>73</v>
      </c>
      <c r="H61">
        <v>1</v>
      </c>
      <c r="I61">
        <v>36.5</v>
      </c>
      <c r="J61">
        <v>47.9</v>
      </c>
      <c r="K61">
        <v>-5.5</v>
      </c>
      <c r="L61">
        <v>377</v>
      </c>
      <c r="M61">
        <v>377</v>
      </c>
      <c r="N61">
        <v>1</v>
      </c>
      <c r="O61">
        <v>10</v>
      </c>
      <c r="P61">
        <v>29</v>
      </c>
      <c r="Q61">
        <v>2</v>
      </c>
      <c r="R61">
        <v>2</v>
      </c>
      <c r="S61">
        <v>79</v>
      </c>
      <c r="T61">
        <v>2</v>
      </c>
      <c r="U61">
        <v>1</v>
      </c>
      <c r="V61">
        <v>100</v>
      </c>
      <c r="W61">
        <v>1087</v>
      </c>
      <c r="X61">
        <v>218</v>
      </c>
      <c r="Y61">
        <v>440</v>
      </c>
      <c r="Z61">
        <v>10495</v>
      </c>
      <c r="AA61">
        <v>34</v>
      </c>
      <c r="AB61">
        <v>2041</v>
      </c>
      <c r="AC61">
        <v>784</v>
      </c>
      <c r="AD61">
        <v>176</v>
      </c>
      <c r="AE61">
        <v>53.5</v>
      </c>
      <c r="AF61">
        <v>2.0499999999999998</v>
      </c>
      <c r="AG61">
        <v>17</v>
      </c>
      <c r="AH61">
        <v>11</v>
      </c>
      <c r="AI61">
        <v>165.95</v>
      </c>
      <c r="AJ61">
        <v>33</v>
      </c>
      <c r="AK61">
        <v>5.0287878787878784</v>
      </c>
      <c r="AL61">
        <v>24520</v>
      </c>
      <c r="AM61">
        <v>0.16</v>
      </c>
      <c r="AN61">
        <v>0</v>
      </c>
      <c r="AO61">
        <v>0</v>
      </c>
      <c r="AP61">
        <v>0</v>
      </c>
      <c r="AQ61">
        <v>1</v>
      </c>
      <c r="AR61">
        <v>0</v>
      </c>
      <c r="AS61" t="s">
        <v>96</v>
      </c>
      <c r="AT61" t="s">
        <v>141</v>
      </c>
    </row>
    <row r="62" spans="1:46" x14ac:dyDescent="0.25">
      <c r="A62">
        <v>1</v>
      </c>
      <c r="B62" t="s">
        <v>25</v>
      </c>
      <c r="C62">
        <v>95</v>
      </c>
      <c r="D62">
        <v>23</v>
      </c>
      <c r="E62">
        <v>72</v>
      </c>
      <c r="F62">
        <v>20</v>
      </c>
      <c r="G62">
        <v>44</v>
      </c>
      <c r="H62">
        <v>1</v>
      </c>
      <c r="I62">
        <v>84.3</v>
      </c>
      <c r="J62">
        <v>24.7</v>
      </c>
      <c r="K62">
        <v>10.700000000000003</v>
      </c>
      <c r="L62">
        <v>679</v>
      </c>
      <c r="M62">
        <v>252</v>
      </c>
      <c r="N62">
        <v>3</v>
      </c>
      <c r="O62">
        <v>12</v>
      </c>
      <c r="P62">
        <v>80</v>
      </c>
      <c r="Q62">
        <v>15</v>
      </c>
      <c r="R62">
        <v>5</v>
      </c>
      <c r="S62">
        <v>98</v>
      </c>
      <c r="T62">
        <v>0</v>
      </c>
      <c r="U62">
        <v>4</v>
      </c>
      <c r="V62">
        <v>58</v>
      </c>
      <c r="W62">
        <v>570</v>
      </c>
      <c r="X62">
        <v>518</v>
      </c>
      <c r="Y62">
        <v>328</v>
      </c>
      <c r="Z62">
        <v>24678</v>
      </c>
      <c r="AA62">
        <v>112</v>
      </c>
      <c r="AB62">
        <v>4240</v>
      </c>
      <c r="AC62">
        <v>783</v>
      </c>
      <c r="AD62">
        <v>298</v>
      </c>
      <c r="AE62">
        <v>78.59</v>
      </c>
      <c r="AF62">
        <v>57.6</v>
      </c>
      <c r="AG62">
        <v>19</v>
      </c>
      <c r="AH62">
        <v>22</v>
      </c>
      <c r="AI62">
        <v>1200</v>
      </c>
      <c r="AJ62">
        <v>46</v>
      </c>
      <c r="AK62">
        <v>26.086956521739129</v>
      </c>
      <c r="AL62">
        <v>54130</v>
      </c>
      <c r="AM62">
        <v>0.09</v>
      </c>
      <c r="AN62">
        <v>1</v>
      </c>
      <c r="AO62">
        <v>0</v>
      </c>
      <c r="AP62">
        <v>1</v>
      </c>
      <c r="AQ62">
        <v>0</v>
      </c>
      <c r="AR62">
        <v>1</v>
      </c>
      <c r="AS62" t="s">
        <v>93</v>
      </c>
      <c r="AT62" t="s">
        <v>142</v>
      </c>
    </row>
    <row r="63" spans="1:46" x14ac:dyDescent="0.25">
      <c r="A63">
        <v>2</v>
      </c>
      <c r="B63" t="s">
        <v>1</v>
      </c>
      <c r="C63">
        <v>89</v>
      </c>
      <c r="D63">
        <v>22</v>
      </c>
      <c r="E63">
        <v>67</v>
      </c>
      <c r="F63">
        <v>21</v>
      </c>
      <c r="G63">
        <v>38</v>
      </c>
      <c r="H63">
        <v>2</v>
      </c>
      <c r="I63">
        <v>73.7</v>
      </c>
      <c r="J63">
        <v>28.8</v>
      </c>
      <c r="K63">
        <v>15.299999999999997</v>
      </c>
      <c r="L63">
        <v>568</v>
      </c>
      <c r="M63">
        <v>211</v>
      </c>
      <c r="N63">
        <v>7</v>
      </c>
      <c r="O63">
        <v>19</v>
      </c>
      <c r="P63">
        <v>84</v>
      </c>
      <c r="Q63">
        <v>5</v>
      </c>
      <c r="R63">
        <v>6</v>
      </c>
      <c r="S63">
        <v>77</v>
      </c>
      <c r="T63">
        <v>0</v>
      </c>
      <c r="U63">
        <v>1</v>
      </c>
      <c r="V63">
        <v>74</v>
      </c>
      <c r="W63">
        <v>670</v>
      </c>
      <c r="X63">
        <v>613</v>
      </c>
      <c r="Y63">
        <v>315</v>
      </c>
      <c r="Z63">
        <v>21146</v>
      </c>
      <c r="AA63">
        <v>98</v>
      </c>
      <c r="AB63">
        <v>3416</v>
      </c>
      <c r="AC63">
        <v>721</v>
      </c>
      <c r="AD63">
        <v>249</v>
      </c>
      <c r="AE63">
        <v>182.2</v>
      </c>
      <c r="AF63">
        <v>41.32</v>
      </c>
      <c r="AG63">
        <v>18</v>
      </c>
      <c r="AH63">
        <v>21</v>
      </c>
      <c r="AI63">
        <v>1170</v>
      </c>
      <c r="AJ63">
        <v>39</v>
      </c>
      <c r="AK63">
        <v>30</v>
      </c>
      <c r="AL63">
        <v>52983</v>
      </c>
      <c r="AM63">
        <v>0.17</v>
      </c>
      <c r="AN63">
        <v>1</v>
      </c>
      <c r="AO63">
        <v>0</v>
      </c>
      <c r="AP63">
        <v>1</v>
      </c>
      <c r="AQ63">
        <v>0</v>
      </c>
      <c r="AR63">
        <v>1</v>
      </c>
      <c r="AS63" t="s">
        <v>93</v>
      </c>
      <c r="AT63" t="s">
        <v>142</v>
      </c>
    </row>
    <row r="64" spans="1:46" x14ac:dyDescent="0.25">
      <c r="A64">
        <v>3</v>
      </c>
      <c r="B64" t="s">
        <v>2</v>
      </c>
      <c r="C64">
        <v>63</v>
      </c>
      <c r="D64">
        <v>39</v>
      </c>
      <c r="E64">
        <v>24</v>
      </c>
      <c r="F64">
        <v>16</v>
      </c>
      <c r="G64">
        <v>49</v>
      </c>
      <c r="H64">
        <v>0</v>
      </c>
      <c r="I64">
        <v>58.6</v>
      </c>
      <c r="J64">
        <v>36.4</v>
      </c>
      <c r="K64">
        <v>4.3999999999999986</v>
      </c>
      <c r="L64">
        <v>602</v>
      </c>
      <c r="M64">
        <v>192</v>
      </c>
      <c r="N64">
        <v>5</v>
      </c>
      <c r="O64">
        <v>8</v>
      </c>
      <c r="P64">
        <v>54</v>
      </c>
      <c r="Q64">
        <v>9</v>
      </c>
      <c r="R64">
        <v>1</v>
      </c>
      <c r="S64">
        <v>83</v>
      </c>
      <c r="T64">
        <v>0</v>
      </c>
      <c r="U64">
        <v>2</v>
      </c>
      <c r="V64">
        <v>84</v>
      </c>
      <c r="W64">
        <v>645</v>
      </c>
      <c r="X64">
        <v>618</v>
      </c>
      <c r="Y64">
        <v>339</v>
      </c>
      <c r="Z64">
        <v>22960</v>
      </c>
      <c r="AA64">
        <v>146</v>
      </c>
      <c r="AB64">
        <v>3874</v>
      </c>
      <c r="AC64">
        <v>692</v>
      </c>
      <c r="AD64">
        <v>215</v>
      </c>
      <c r="AE64">
        <v>208.8</v>
      </c>
      <c r="AF64">
        <v>83.25</v>
      </c>
      <c r="AG64">
        <v>30</v>
      </c>
      <c r="AH64">
        <v>31</v>
      </c>
      <c r="AI64">
        <v>1170</v>
      </c>
      <c r="AJ64">
        <v>54</v>
      </c>
      <c r="AK64">
        <v>21.666666666666668</v>
      </c>
      <c r="AL64">
        <v>40437</v>
      </c>
      <c r="AM64">
        <v>0.31</v>
      </c>
      <c r="AN64">
        <v>1</v>
      </c>
      <c r="AO64">
        <v>0</v>
      </c>
      <c r="AP64">
        <v>1</v>
      </c>
      <c r="AQ64">
        <v>0</v>
      </c>
      <c r="AR64">
        <v>1</v>
      </c>
      <c r="AS64" t="s">
        <v>93</v>
      </c>
      <c r="AT64" t="s">
        <v>142</v>
      </c>
    </row>
    <row r="65" spans="1:46" x14ac:dyDescent="0.25">
      <c r="A65">
        <v>4</v>
      </c>
      <c r="B65" t="s">
        <v>3</v>
      </c>
      <c r="C65">
        <v>67</v>
      </c>
      <c r="D65">
        <v>39</v>
      </c>
      <c r="E65">
        <v>28</v>
      </c>
      <c r="F65">
        <v>13</v>
      </c>
      <c r="G65">
        <v>56</v>
      </c>
      <c r="H65">
        <v>3</v>
      </c>
      <c r="I65">
        <v>54.9</v>
      </c>
      <c r="J65">
        <v>47.1</v>
      </c>
      <c r="K65">
        <v>12.100000000000001</v>
      </c>
      <c r="L65">
        <v>533</v>
      </c>
      <c r="M65">
        <v>182</v>
      </c>
      <c r="N65">
        <v>4</v>
      </c>
      <c r="O65">
        <v>14</v>
      </c>
      <c r="P65">
        <v>53</v>
      </c>
      <c r="Q65">
        <v>14</v>
      </c>
      <c r="R65">
        <v>5</v>
      </c>
      <c r="S65">
        <v>74</v>
      </c>
      <c r="T65">
        <v>3</v>
      </c>
      <c r="U65">
        <v>5</v>
      </c>
      <c r="V65">
        <v>118</v>
      </c>
      <c r="W65">
        <v>823</v>
      </c>
      <c r="X65">
        <v>627</v>
      </c>
      <c r="Y65">
        <v>376</v>
      </c>
      <c r="Z65">
        <v>18808</v>
      </c>
      <c r="AA65">
        <v>87</v>
      </c>
      <c r="AB65">
        <v>3191</v>
      </c>
      <c r="AC65">
        <v>643</v>
      </c>
      <c r="AD65">
        <v>194</v>
      </c>
      <c r="AE65">
        <v>0</v>
      </c>
      <c r="AF65">
        <v>5.35</v>
      </c>
      <c r="AG65">
        <v>4</v>
      </c>
      <c r="AH65">
        <v>4</v>
      </c>
      <c r="AI65">
        <v>898.6</v>
      </c>
      <c r="AJ65">
        <v>34</v>
      </c>
      <c r="AK65">
        <v>26.429411764705883</v>
      </c>
      <c r="AL65">
        <v>54216</v>
      </c>
      <c r="AM65">
        <v>0.1</v>
      </c>
      <c r="AN65">
        <v>1</v>
      </c>
      <c r="AO65">
        <v>0</v>
      </c>
      <c r="AP65">
        <v>1</v>
      </c>
      <c r="AQ65">
        <v>0</v>
      </c>
      <c r="AR65">
        <v>1</v>
      </c>
      <c r="AS65" t="s">
        <v>93</v>
      </c>
      <c r="AT65" t="s">
        <v>142</v>
      </c>
    </row>
    <row r="66" spans="1:46" x14ac:dyDescent="0.25">
      <c r="A66">
        <v>5</v>
      </c>
      <c r="B66" t="s">
        <v>6</v>
      </c>
      <c r="C66">
        <v>73</v>
      </c>
      <c r="D66">
        <v>51</v>
      </c>
      <c r="E66">
        <v>22</v>
      </c>
      <c r="F66">
        <v>8</v>
      </c>
      <c r="G66">
        <v>72</v>
      </c>
      <c r="H66">
        <v>2</v>
      </c>
      <c r="I66">
        <v>60.1</v>
      </c>
      <c r="J66">
        <v>54.2</v>
      </c>
      <c r="K66">
        <v>12.899999999999999</v>
      </c>
      <c r="L66">
        <v>462</v>
      </c>
      <c r="M66">
        <v>159</v>
      </c>
      <c r="N66">
        <v>4</v>
      </c>
      <c r="O66">
        <v>5</v>
      </c>
      <c r="P66">
        <v>62</v>
      </c>
      <c r="Q66">
        <v>11</v>
      </c>
      <c r="R66">
        <v>3</v>
      </c>
      <c r="S66">
        <v>89</v>
      </c>
      <c r="T66">
        <v>1</v>
      </c>
      <c r="U66">
        <v>7</v>
      </c>
      <c r="V66">
        <v>132</v>
      </c>
      <c r="W66">
        <v>798</v>
      </c>
      <c r="X66">
        <v>609</v>
      </c>
      <c r="Y66">
        <v>412</v>
      </c>
      <c r="Z66">
        <v>18425</v>
      </c>
      <c r="AA66">
        <v>65</v>
      </c>
      <c r="AB66">
        <v>3102</v>
      </c>
      <c r="AC66">
        <v>605</v>
      </c>
      <c r="AD66">
        <v>209</v>
      </c>
      <c r="AE66">
        <v>80.150000000000006</v>
      </c>
      <c r="AF66">
        <v>9.1</v>
      </c>
      <c r="AG66">
        <v>17</v>
      </c>
      <c r="AH66">
        <v>12</v>
      </c>
      <c r="AI66">
        <v>659.05</v>
      </c>
      <c r="AJ66">
        <v>42</v>
      </c>
      <c r="AK66">
        <v>15.691666666666666</v>
      </c>
      <c r="AL66">
        <v>59899</v>
      </c>
      <c r="AM66">
        <v>0.26</v>
      </c>
      <c r="AN66">
        <v>1</v>
      </c>
      <c r="AO66">
        <v>0</v>
      </c>
      <c r="AP66">
        <v>0</v>
      </c>
      <c r="AQ66">
        <v>0</v>
      </c>
      <c r="AR66">
        <v>1</v>
      </c>
      <c r="AS66" t="s">
        <v>93</v>
      </c>
      <c r="AT66" t="s">
        <v>142</v>
      </c>
    </row>
    <row r="67" spans="1:46" x14ac:dyDescent="0.25">
      <c r="A67">
        <v>6</v>
      </c>
      <c r="B67" t="s">
        <v>4</v>
      </c>
      <c r="C67">
        <v>65</v>
      </c>
      <c r="D67">
        <v>54</v>
      </c>
      <c r="E67">
        <v>11</v>
      </c>
      <c r="F67">
        <v>7</v>
      </c>
      <c r="G67">
        <v>73</v>
      </c>
      <c r="H67">
        <v>4</v>
      </c>
      <c r="I67">
        <v>61.4</v>
      </c>
      <c r="J67">
        <v>50.6</v>
      </c>
      <c r="K67">
        <v>3.6000000000000014</v>
      </c>
      <c r="L67">
        <v>514</v>
      </c>
      <c r="M67">
        <v>210</v>
      </c>
      <c r="N67">
        <v>9</v>
      </c>
      <c r="O67">
        <v>4</v>
      </c>
      <c r="P67">
        <v>55</v>
      </c>
      <c r="Q67">
        <v>10</v>
      </c>
      <c r="R67">
        <v>4</v>
      </c>
      <c r="S67">
        <v>90</v>
      </c>
      <c r="T67">
        <v>3</v>
      </c>
      <c r="U67">
        <v>6</v>
      </c>
      <c r="V67">
        <v>120</v>
      </c>
      <c r="W67">
        <v>847</v>
      </c>
      <c r="X67">
        <v>581</v>
      </c>
      <c r="Y67">
        <v>433</v>
      </c>
      <c r="Z67">
        <v>16834</v>
      </c>
      <c r="AA67">
        <v>63</v>
      </c>
      <c r="AB67">
        <v>2634</v>
      </c>
      <c r="AC67">
        <v>638</v>
      </c>
      <c r="AD67">
        <v>200</v>
      </c>
      <c r="AE67">
        <v>82.7</v>
      </c>
      <c r="AF67">
        <v>30.55</v>
      </c>
      <c r="AG67">
        <v>9</v>
      </c>
      <c r="AH67">
        <v>10</v>
      </c>
      <c r="AI67">
        <v>797.6</v>
      </c>
      <c r="AJ67">
        <v>36</v>
      </c>
      <c r="AK67">
        <v>22.155555555555555</v>
      </c>
      <c r="AL67">
        <v>74498</v>
      </c>
      <c r="AM67">
        <v>0.05</v>
      </c>
      <c r="AN67">
        <v>1</v>
      </c>
      <c r="AO67">
        <v>0</v>
      </c>
      <c r="AP67">
        <v>0</v>
      </c>
      <c r="AQ67">
        <v>0</v>
      </c>
      <c r="AR67">
        <v>1</v>
      </c>
      <c r="AS67" t="s">
        <v>93</v>
      </c>
      <c r="AT67" t="s">
        <v>142</v>
      </c>
    </row>
    <row r="68" spans="1:46" x14ac:dyDescent="0.25">
      <c r="A68">
        <v>7</v>
      </c>
      <c r="B68" t="s">
        <v>16</v>
      </c>
      <c r="C68">
        <v>47</v>
      </c>
      <c r="D68">
        <v>46</v>
      </c>
      <c r="E68">
        <v>1</v>
      </c>
      <c r="F68">
        <v>9</v>
      </c>
      <c r="G68">
        <v>72</v>
      </c>
      <c r="H68">
        <v>1</v>
      </c>
      <c r="I68">
        <v>52.1</v>
      </c>
      <c r="J68">
        <v>42.1</v>
      </c>
      <c r="K68">
        <v>-5.1000000000000014</v>
      </c>
      <c r="L68">
        <v>473</v>
      </c>
      <c r="M68">
        <v>144</v>
      </c>
      <c r="N68">
        <v>4</v>
      </c>
      <c r="O68">
        <v>10</v>
      </c>
      <c r="P68">
        <v>44</v>
      </c>
      <c r="Q68">
        <v>3</v>
      </c>
      <c r="R68">
        <v>5</v>
      </c>
      <c r="S68">
        <v>73</v>
      </c>
      <c r="T68">
        <v>4</v>
      </c>
      <c r="U68">
        <v>4</v>
      </c>
      <c r="V68">
        <v>99</v>
      </c>
      <c r="W68">
        <v>895</v>
      </c>
      <c r="X68">
        <v>720</v>
      </c>
      <c r="Y68">
        <v>409</v>
      </c>
      <c r="Z68">
        <v>13961</v>
      </c>
      <c r="AA68">
        <v>51</v>
      </c>
      <c r="AB68">
        <v>2515</v>
      </c>
      <c r="AC68">
        <v>622</v>
      </c>
      <c r="AD68">
        <v>195</v>
      </c>
      <c r="AE68">
        <v>112.75</v>
      </c>
      <c r="AF68">
        <v>23.3</v>
      </c>
      <c r="AG68">
        <v>35</v>
      </c>
      <c r="AH68">
        <v>46</v>
      </c>
      <c r="AI68">
        <v>302.89999999999998</v>
      </c>
      <c r="AJ68">
        <v>40</v>
      </c>
      <c r="AK68">
        <v>7.5724999999999998</v>
      </c>
      <c r="AL68">
        <v>31030</v>
      </c>
      <c r="AM68">
        <v>0.14000000000000001</v>
      </c>
      <c r="AN68">
        <v>0</v>
      </c>
      <c r="AO68">
        <v>1</v>
      </c>
      <c r="AP68">
        <v>0</v>
      </c>
      <c r="AQ68">
        <v>0</v>
      </c>
      <c r="AR68">
        <v>0</v>
      </c>
      <c r="AS68" t="s">
        <v>93</v>
      </c>
      <c r="AT68" t="s">
        <v>142</v>
      </c>
    </row>
    <row r="69" spans="1:46" x14ac:dyDescent="0.25">
      <c r="A69">
        <v>8</v>
      </c>
      <c r="B69" t="s">
        <v>15</v>
      </c>
      <c r="C69">
        <v>54</v>
      </c>
      <c r="D69">
        <v>46</v>
      </c>
      <c r="E69">
        <v>8</v>
      </c>
      <c r="F69">
        <v>14</v>
      </c>
      <c r="G69">
        <v>55</v>
      </c>
      <c r="H69">
        <v>4</v>
      </c>
      <c r="I69">
        <v>49.7</v>
      </c>
      <c r="J69">
        <v>45.7</v>
      </c>
      <c r="K69">
        <v>4.2999999999999972</v>
      </c>
      <c r="L69">
        <v>493</v>
      </c>
      <c r="M69">
        <v>163</v>
      </c>
      <c r="N69">
        <v>2</v>
      </c>
      <c r="O69">
        <v>13</v>
      </c>
      <c r="P69">
        <v>45</v>
      </c>
      <c r="Q69">
        <v>10</v>
      </c>
      <c r="R69">
        <v>3</v>
      </c>
      <c r="S69">
        <v>69</v>
      </c>
      <c r="T69">
        <v>2</v>
      </c>
      <c r="U69">
        <v>5</v>
      </c>
      <c r="V69">
        <v>89</v>
      </c>
      <c r="W69">
        <v>877</v>
      </c>
      <c r="X69">
        <v>699</v>
      </c>
      <c r="Y69">
        <v>432</v>
      </c>
      <c r="Z69">
        <v>13878</v>
      </c>
      <c r="AA69">
        <v>44</v>
      </c>
      <c r="AB69">
        <v>2362</v>
      </c>
      <c r="AC69">
        <v>814</v>
      </c>
      <c r="AD69">
        <v>215</v>
      </c>
      <c r="AE69">
        <v>99.8</v>
      </c>
      <c r="AF69">
        <v>28.65</v>
      </c>
      <c r="AG69">
        <v>19</v>
      </c>
      <c r="AH69">
        <v>23</v>
      </c>
      <c r="AI69">
        <v>529.1</v>
      </c>
      <c r="AJ69">
        <v>40</v>
      </c>
      <c r="AK69">
        <v>13.227500000000001</v>
      </c>
      <c r="AL69">
        <v>39043</v>
      </c>
      <c r="AM69">
        <v>0.1</v>
      </c>
      <c r="AN69">
        <v>0</v>
      </c>
      <c r="AO69">
        <v>0</v>
      </c>
      <c r="AP69">
        <v>0</v>
      </c>
      <c r="AQ69">
        <v>0</v>
      </c>
      <c r="AR69">
        <v>0</v>
      </c>
      <c r="AS69" t="s">
        <v>93</v>
      </c>
      <c r="AT69" t="s">
        <v>142</v>
      </c>
    </row>
    <row r="70" spans="1:46" x14ac:dyDescent="0.25">
      <c r="A70">
        <v>9</v>
      </c>
      <c r="B70" t="s">
        <v>7</v>
      </c>
      <c r="C70">
        <v>51</v>
      </c>
      <c r="D70">
        <v>48</v>
      </c>
      <c r="E70">
        <v>3</v>
      </c>
      <c r="F70">
        <v>10</v>
      </c>
      <c r="G70">
        <v>57</v>
      </c>
      <c r="H70">
        <v>5</v>
      </c>
      <c r="I70">
        <v>52.4</v>
      </c>
      <c r="J70">
        <v>43.7</v>
      </c>
      <c r="K70">
        <v>-1.3999999999999986</v>
      </c>
      <c r="L70">
        <v>508</v>
      </c>
      <c r="M70">
        <v>173</v>
      </c>
      <c r="N70">
        <v>5</v>
      </c>
      <c r="O70">
        <v>9</v>
      </c>
      <c r="P70">
        <v>43</v>
      </c>
      <c r="Q70">
        <v>8</v>
      </c>
      <c r="R70">
        <v>8</v>
      </c>
      <c r="S70">
        <v>72</v>
      </c>
      <c r="T70">
        <v>0</v>
      </c>
      <c r="U70">
        <v>5</v>
      </c>
      <c r="V70">
        <v>90</v>
      </c>
      <c r="W70">
        <v>1034</v>
      </c>
      <c r="X70">
        <v>675</v>
      </c>
      <c r="Y70">
        <v>351</v>
      </c>
      <c r="Z70">
        <v>14640</v>
      </c>
      <c r="AA70">
        <v>88</v>
      </c>
      <c r="AB70">
        <v>2593</v>
      </c>
      <c r="AC70">
        <v>779</v>
      </c>
      <c r="AD70">
        <v>210</v>
      </c>
      <c r="AE70">
        <v>114.6</v>
      </c>
      <c r="AF70">
        <v>95.8</v>
      </c>
      <c r="AG70">
        <v>16</v>
      </c>
      <c r="AH70">
        <v>18</v>
      </c>
      <c r="AI70">
        <v>434.1</v>
      </c>
      <c r="AJ70">
        <v>37</v>
      </c>
      <c r="AK70">
        <v>11.732432432432432</v>
      </c>
      <c r="AL70">
        <v>31851</v>
      </c>
      <c r="AM70">
        <v>0.06</v>
      </c>
      <c r="AN70">
        <v>0</v>
      </c>
      <c r="AO70">
        <v>0</v>
      </c>
      <c r="AP70">
        <v>0</v>
      </c>
      <c r="AQ70">
        <v>0</v>
      </c>
      <c r="AR70">
        <v>0</v>
      </c>
      <c r="AS70" t="s">
        <v>93</v>
      </c>
      <c r="AT70" t="s">
        <v>142</v>
      </c>
    </row>
    <row r="71" spans="1:46" x14ac:dyDescent="0.25">
      <c r="A71">
        <v>10</v>
      </c>
      <c r="B71" t="s">
        <v>5</v>
      </c>
      <c r="C71">
        <v>52</v>
      </c>
      <c r="D71">
        <v>55</v>
      </c>
      <c r="E71">
        <v>-3</v>
      </c>
      <c r="F71">
        <v>7</v>
      </c>
      <c r="G71">
        <v>59</v>
      </c>
      <c r="H71">
        <v>1</v>
      </c>
      <c r="I71">
        <v>47.6</v>
      </c>
      <c r="J71">
        <v>61.9</v>
      </c>
      <c r="K71">
        <v>4.3999999999999986</v>
      </c>
      <c r="L71">
        <v>436</v>
      </c>
      <c r="M71">
        <v>149</v>
      </c>
      <c r="N71">
        <v>5</v>
      </c>
      <c r="O71">
        <v>10</v>
      </c>
      <c r="P71">
        <v>47</v>
      </c>
      <c r="Q71">
        <v>5</v>
      </c>
      <c r="R71">
        <v>3</v>
      </c>
      <c r="S71">
        <v>71</v>
      </c>
      <c r="T71">
        <v>1</v>
      </c>
      <c r="U71">
        <v>5</v>
      </c>
      <c r="V71">
        <v>143</v>
      </c>
      <c r="W71">
        <v>926</v>
      </c>
      <c r="X71">
        <v>723</v>
      </c>
      <c r="Y71">
        <v>331</v>
      </c>
      <c r="Z71">
        <v>13847</v>
      </c>
      <c r="AA71">
        <v>75</v>
      </c>
      <c r="AB71">
        <v>2273</v>
      </c>
      <c r="AC71">
        <v>631</v>
      </c>
      <c r="AD71">
        <v>188</v>
      </c>
      <c r="AE71">
        <v>100.9</v>
      </c>
      <c r="AF71">
        <v>13.77</v>
      </c>
      <c r="AG71">
        <v>18</v>
      </c>
      <c r="AH71">
        <v>13</v>
      </c>
      <c r="AI71">
        <v>359</v>
      </c>
      <c r="AJ71">
        <v>37</v>
      </c>
      <c r="AK71">
        <v>9.7027027027027035</v>
      </c>
      <c r="AL71">
        <v>58336</v>
      </c>
      <c r="AM71">
        <v>0.13</v>
      </c>
      <c r="AN71">
        <v>0</v>
      </c>
      <c r="AO71">
        <v>0</v>
      </c>
      <c r="AP71">
        <v>0</v>
      </c>
      <c r="AQ71">
        <v>0</v>
      </c>
      <c r="AR71">
        <v>0</v>
      </c>
      <c r="AS71" t="s">
        <v>93</v>
      </c>
      <c r="AT71" t="s">
        <v>142</v>
      </c>
    </row>
    <row r="72" spans="1:46" x14ac:dyDescent="0.25">
      <c r="A72">
        <v>11</v>
      </c>
      <c r="B72" t="s">
        <v>18</v>
      </c>
      <c r="C72">
        <v>52</v>
      </c>
      <c r="D72">
        <v>59</v>
      </c>
      <c r="E72">
        <v>-7</v>
      </c>
      <c r="F72">
        <v>7</v>
      </c>
      <c r="G72">
        <v>77</v>
      </c>
      <c r="H72">
        <v>4</v>
      </c>
      <c r="I72">
        <v>48.2</v>
      </c>
      <c r="J72">
        <v>59.2</v>
      </c>
      <c r="K72">
        <v>3.7999999999999972</v>
      </c>
      <c r="L72">
        <v>436</v>
      </c>
      <c r="M72">
        <v>148</v>
      </c>
      <c r="N72">
        <v>1</v>
      </c>
      <c r="O72">
        <v>8</v>
      </c>
      <c r="P72">
        <v>44</v>
      </c>
      <c r="Q72">
        <v>8</v>
      </c>
      <c r="R72">
        <v>3</v>
      </c>
      <c r="S72">
        <v>89</v>
      </c>
      <c r="T72">
        <v>3</v>
      </c>
      <c r="U72">
        <v>5</v>
      </c>
      <c r="V72">
        <v>123</v>
      </c>
      <c r="W72">
        <v>1022</v>
      </c>
      <c r="X72">
        <v>656</v>
      </c>
      <c r="Y72">
        <v>433</v>
      </c>
      <c r="Z72">
        <v>12550</v>
      </c>
      <c r="AA72">
        <v>32</v>
      </c>
      <c r="AB72">
        <v>2314</v>
      </c>
      <c r="AC72">
        <v>570</v>
      </c>
      <c r="AD72">
        <v>177</v>
      </c>
      <c r="AE72">
        <v>30.1</v>
      </c>
      <c r="AF72">
        <v>51.84</v>
      </c>
      <c r="AG72">
        <v>26</v>
      </c>
      <c r="AH72">
        <v>27</v>
      </c>
      <c r="AI72">
        <v>239.1</v>
      </c>
      <c r="AJ72">
        <v>39</v>
      </c>
      <c r="AK72">
        <v>6.1307692307692303</v>
      </c>
      <c r="AL72">
        <v>20016</v>
      </c>
      <c r="AM72">
        <v>0.03</v>
      </c>
      <c r="AN72">
        <v>0</v>
      </c>
      <c r="AO72">
        <v>0</v>
      </c>
      <c r="AP72">
        <v>0</v>
      </c>
      <c r="AQ72">
        <v>0</v>
      </c>
      <c r="AR72">
        <v>0</v>
      </c>
      <c r="AS72" t="s">
        <v>93</v>
      </c>
      <c r="AT72" t="s">
        <v>142</v>
      </c>
    </row>
    <row r="73" spans="1:46" x14ac:dyDescent="0.25">
      <c r="A73">
        <v>12</v>
      </c>
      <c r="B73" t="s">
        <v>9</v>
      </c>
      <c r="C73">
        <v>51</v>
      </c>
      <c r="D73">
        <v>53</v>
      </c>
      <c r="E73">
        <v>-2</v>
      </c>
      <c r="F73">
        <v>12</v>
      </c>
      <c r="G73">
        <v>58</v>
      </c>
      <c r="H73">
        <v>2</v>
      </c>
      <c r="I73">
        <v>47.6</v>
      </c>
      <c r="J73">
        <v>50.1</v>
      </c>
      <c r="K73">
        <v>3.3999999999999986</v>
      </c>
      <c r="L73">
        <v>482</v>
      </c>
      <c r="M73">
        <v>135</v>
      </c>
      <c r="N73">
        <v>10</v>
      </c>
      <c r="O73">
        <v>5</v>
      </c>
      <c r="P73">
        <v>43</v>
      </c>
      <c r="Q73">
        <v>8</v>
      </c>
      <c r="R73">
        <v>2</v>
      </c>
      <c r="S73">
        <v>78</v>
      </c>
      <c r="T73">
        <v>1</v>
      </c>
      <c r="U73">
        <v>5</v>
      </c>
      <c r="V73">
        <v>110</v>
      </c>
      <c r="W73">
        <v>1011</v>
      </c>
      <c r="X73">
        <v>733</v>
      </c>
      <c r="Y73">
        <v>386</v>
      </c>
      <c r="Z73">
        <v>12697</v>
      </c>
      <c r="AA73">
        <v>26</v>
      </c>
      <c r="AB73">
        <v>2233</v>
      </c>
      <c r="AC73">
        <v>577</v>
      </c>
      <c r="AD73">
        <v>205</v>
      </c>
      <c r="AE73">
        <v>11.85</v>
      </c>
      <c r="AF73">
        <v>0.35</v>
      </c>
      <c r="AG73">
        <v>11</v>
      </c>
      <c r="AH73">
        <v>16</v>
      </c>
      <c r="AI73">
        <v>289</v>
      </c>
      <c r="AJ73">
        <v>36</v>
      </c>
      <c r="AK73">
        <v>8.0277777777777786</v>
      </c>
      <c r="AL73">
        <v>25455</v>
      </c>
      <c r="AM73">
        <v>-0.06</v>
      </c>
      <c r="AN73">
        <v>0</v>
      </c>
      <c r="AO73">
        <v>0</v>
      </c>
      <c r="AP73">
        <v>0</v>
      </c>
      <c r="AQ73">
        <v>0</v>
      </c>
      <c r="AR73">
        <v>0</v>
      </c>
      <c r="AS73" t="s">
        <v>93</v>
      </c>
      <c r="AT73" t="s">
        <v>142</v>
      </c>
    </row>
    <row r="74" spans="1:46" x14ac:dyDescent="0.25">
      <c r="A74">
        <v>13</v>
      </c>
      <c r="B74" t="s">
        <v>12</v>
      </c>
      <c r="C74">
        <v>42</v>
      </c>
      <c r="D74">
        <v>48</v>
      </c>
      <c r="E74">
        <v>-6</v>
      </c>
      <c r="F74">
        <v>11</v>
      </c>
      <c r="G74">
        <v>57</v>
      </c>
      <c r="H74">
        <v>2</v>
      </c>
      <c r="I74">
        <v>39.1</v>
      </c>
      <c r="J74">
        <v>53.6</v>
      </c>
      <c r="K74">
        <v>2.8999999999999986</v>
      </c>
      <c r="L74">
        <v>443</v>
      </c>
      <c r="M74">
        <v>136</v>
      </c>
      <c r="N74">
        <v>1</v>
      </c>
      <c r="O74">
        <v>12</v>
      </c>
      <c r="P74">
        <v>40</v>
      </c>
      <c r="Q74">
        <v>2</v>
      </c>
      <c r="R74">
        <v>1</v>
      </c>
      <c r="S74">
        <v>59</v>
      </c>
      <c r="T74">
        <v>1</v>
      </c>
      <c r="U74">
        <v>6</v>
      </c>
      <c r="V74">
        <v>93</v>
      </c>
      <c r="W74">
        <v>1204</v>
      </c>
      <c r="X74">
        <v>711</v>
      </c>
      <c r="Y74">
        <v>423</v>
      </c>
      <c r="Z74">
        <v>10774</v>
      </c>
      <c r="AA74">
        <v>50</v>
      </c>
      <c r="AB74">
        <v>1999</v>
      </c>
      <c r="AC74">
        <v>711</v>
      </c>
      <c r="AD74">
        <v>181</v>
      </c>
      <c r="AE74">
        <v>59.45</v>
      </c>
      <c r="AF74">
        <v>54.05</v>
      </c>
      <c r="AG74">
        <v>22</v>
      </c>
      <c r="AH74">
        <v>23</v>
      </c>
      <c r="AI74">
        <v>244.65</v>
      </c>
      <c r="AJ74">
        <v>37</v>
      </c>
      <c r="AK74">
        <v>6.6121621621621625</v>
      </c>
      <c r="AL74">
        <v>51121</v>
      </c>
      <c r="AM74">
        <v>0.05</v>
      </c>
      <c r="AN74">
        <v>0</v>
      </c>
      <c r="AO74">
        <v>0</v>
      </c>
      <c r="AP74">
        <v>0</v>
      </c>
      <c r="AQ74">
        <v>0</v>
      </c>
      <c r="AR74">
        <v>0</v>
      </c>
      <c r="AS74" t="s">
        <v>93</v>
      </c>
      <c r="AT74" t="s">
        <v>142</v>
      </c>
    </row>
    <row r="75" spans="1:46" x14ac:dyDescent="0.25">
      <c r="A75">
        <v>14</v>
      </c>
      <c r="B75" t="s">
        <v>31</v>
      </c>
      <c r="C75">
        <v>56</v>
      </c>
      <c r="D75">
        <v>70</v>
      </c>
      <c r="E75">
        <v>-14</v>
      </c>
      <c r="F75">
        <v>10</v>
      </c>
      <c r="G75">
        <v>60</v>
      </c>
      <c r="H75">
        <v>1</v>
      </c>
      <c r="I75">
        <v>53.3</v>
      </c>
      <c r="J75">
        <v>57.2</v>
      </c>
      <c r="K75">
        <v>2.7000000000000028</v>
      </c>
      <c r="L75">
        <v>437</v>
      </c>
      <c r="M75">
        <v>153</v>
      </c>
      <c r="N75">
        <v>7</v>
      </c>
      <c r="O75">
        <v>11</v>
      </c>
      <c r="P75">
        <v>50</v>
      </c>
      <c r="Q75">
        <v>6</v>
      </c>
      <c r="R75">
        <v>9</v>
      </c>
      <c r="S75">
        <v>57</v>
      </c>
      <c r="T75">
        <v>3</v>
      </c>
      <c r="U75">
        <v>5</v>
      </c>
      <c r="V75">
        <v>106</v>
      </c>
      <c r="W75">
        <v>1098</v>
      </c>
      <c r="X75">
        <v>525</v>
      </c>
      <c r="Y75">
        <v>340</v>
      </c>
      <c r="Z75">
        <v>13505</v>
      </c>
      <c r="AA75">
        <v>57</v>
      </c>
      <c r="AB75">
        <v>2249</v>
      </c>
      <c r="AC75">
        <v>613</v>
      </c>
      <c r="AD75">
        <v>191</v>
      </c>
      <c r="AE75">
        <v>89.1</v>
      </c>
      <c r="AF75">
        <v>20.2</v>
      </c>
      <c r="AG75">
        <v>14</v>
      </c>
      <c r="AH75">
        <v>16</v>
      </c>
      <c r="AI75">
        <v>310</v>
      </c>
      <c r="AJ75">
        <v>37</v>
      </c>
      <c r="AK75">
        <v>8.378378378378379</v>
      </c>
      <c r="AL75">
        <v>10532</v>
      </c>
      <c r="AM75">
        <v>0.18</v>
      </c>
      <c r="AN75">
        <v>0</v>
      </c>
      <c r="AO75">
        <v>0</v>
      </c>
      <c r="AP75">
        <v>0</v>
      </c>
      <c r="AQ75">
        <v>0</v>
      </c>
      <c r="AR75">
        <v>0</v>
      </c>
      <c r="AS75" t="s">
        <v>93</v>
      </c>
      <c r="AT75" t="s">
        <v>142</v>
      </c>
    </row>
    <row r="76" spans="1:46" x14ac:dyDescent="0.25">
      <c r="A76">
        <v>15</v>
      </c>
      <c r="B76" t="s">
        <v>17</v>
      </c>
      <c r="C76">
        <v>45</v>
      </c>
      <c r="D76">
        <v>68</v>
      </c>
      <c r="E76">
        <v>-23</v>
      </c>
      <c r="F76">
        <v>8</v>
      </c>
      <c r="G76">
        <v>75</v>
      </c>
      <c r="H76">
        <v>1</v>
      </c>
      <c r="I76">
        <v>44.4</v>
      </c>
      <c r="J76">
        <v>62.1</v>
      </c>
      <c r="K76">
        <v>0.60000000000000142</v>
      </c>
      <c r="L76">
        <v>358</v>
      </c>
      <c r="M76">
        <v>112</v>
      </c>
      <c r="N76">
        <v>2</v>
      </c>
      <c r="O76">
        <v>13</v>
      </c>
      <c r="P76">
        <v>43</v>
      </c>
      <c r="Q76">
        <v>2</v>
      </c>
      <c r="R76">
        <v>1</v>
      </c>
      <c r="S76">
        <v>106</v>
      </c>
      <c r="T76">
        <v>4</v>
      </c>
      <c r="U76">
        <v>3</v>
      </c>
      <c r="V76">
        <v>134</v>
      </c>
      <c r="W76">
        <v>1156</v>
      </c>
      <c r="X76">
        <v>584</v>
      </c>
      <c r="Y76">
        <v>360</v>
      </c>
      <c r="Z76">
        <v>10134</v>
      </c>
      <c r="AA76">
        <v>35</v>
      </c>
      <c r="AB76">
        <v>2046</v>
      </c>
      <c r="AC76">
        <v>692</v>
      </c>
      <c r="AD76">
        <v>139</v>
      </c>
      <c r="AE76">
        <v>33</v>
      </c>
      <c r="AF76">
        <v>8</v>
      </c>
      <c r="AG76">
        <v>8</v>
      </c>
      <c r="AH76">
        <v>11</v>
      </c>
      <c r="AI76">
        <v>197.25</v>
      </c>
      <c r="AJ76">
        <v>33</v>
      </c>
      <c r="AK76">
        <v>5.9772727272727275</v>
      </c>
      <c r="AL76">
        <v>20534</v>
      </c>
      <c r="AM76">
        <v>7.0000000000000007E-2</v>
      </c>
      <c r="AN76">
        <v>1</v>
      </c>
      <c r="AO76">
        <v>0</v>
      </c>
      <c r="AP76">
        <v>0</v>
      </c>
      <c r="AQ76">
        <v>0</v>
      </c>
      <c r="AR76">
        <v>0</v>
      </c>
      <c r="AS76" t="s">
        <v>93</v>
      </c>
      <c r="AT76" t="s">
        <v>142</v>
      </c>
    </row>
    <row r="77" spans="1:46" x14ac:dyDescent="0.25">
      <c r="A77">
        <v>16</v>
      </c>
      <c r="B77" t="s">
        <v>11</v>
      </c>
      <c r="C77">
        <v>45</v>
      </c>
      <c r="D77">
        <v>65</v>
      </c>
      <c r="E77">
        <v>-20</v>
      </c>
      <c r="F77">
        <v>7</v>
      </c>
      <c r="G77">
        <v>71</v>
      </c>
      <c r="H77">
        <v>3</v>
      </c>
      <c r="I77">
        <v>46.9</v>
      </c>
      <c r="J77">
        <v>55.1</v>
      </c>
      <c r="K77">
        <v>-1.8999999999999986</v>
      </c>
      <c r="L77">
        <v>479</v>
      </c>
      <c r="M77">
        <v>155</v>
      </c>
      <c r="N77">
        <v>4</v>
      </c>
      <c r="O77">
        <v>4</v>
      </c>
      <c r="P77">
        <v>31</v>
      </c>
      <c r="Q77">
        <v>14</v>
      </c>
      <c r="R77">
        <v>1</v>
      </c>
      <c r="S77">
        <v>61</v>
      </c>
      <c r="T77">
        <v>3</v>
      </c>
      <c r="U77">
        <v>3</v>
      </c>
      <c r="V77">
        <v>112</v>
      </c>
      <c r="W77">
        <v>1128</v>
      </c>
      <c r="X77">
        <v>698</v>
      </c>
      <c r="Y77">
        <v>420</v>
      </c>
      <c r="Z77">
        <v>11463</v>
      </c>
      <c r="AA77">
        <v>35</v>
      </c>
      <c r="AB77">
        <v>2040</v>
      </c>
      <c r="AC77">
        <v>666</v>
      </c>
      <c r="AD77">
        <v>193</v>
      </c>
      <c r="AE77">
        <v>62.25</v>
      </c>
      <c r="AF77">
        <v>26.1</v>
      </c>
      <c r="AG77">
        <v>16</v>
      </c>
      <c r="AH77">
        <v>18</v>
      </c>
      <c r="AI77">
        <v>305.39999999999998</v>
      </c>
      <c r="AJ77">
        <v>40</v>
      </c>
      <c r="AK77">
        <v>7.6349999999999998</v>
      </c>
      <c r="AL77">
        <v>30139</v>
      </c>
      <c r="AM77">
        <v>0.14000000000000001</v>
      </c>
      <c r="AN77">
        <v>0</v>
      </c>
      <c r="AO77">
        <v>0</v>
      </c>
      <c r="AP77">
        <v>0</v>
      </c>
      <c r="AQ77">
        <v>0</v>
      </c>
      <c r="AR77">
        <v>0</v>
      </c>
      <c r="AS77" t="s">
        <v>93</v>
      </c>
      <c r="AT77" t="s">
        <v>142</v>
      </c>
    </row>
    <row r="78" spans="1:46" x14ac:dyDescent="0.25">
      <c r="A78">
        <v>17</v>
      </c>
      <c r="B78" t="s">
        <v>14</v>
      </c>
      <c r="C78">
        <v>35</v>
      </c>
      <c r="D78">
        <v>60</v>
      </c>
      <c r="E78">
        <v>-25</v>
      </c>
      <c r="F78">
        <v>7</v>
      </c>
      <c r="G78">
        <v>60</v>
      </c>
      <c r="H78">
        <v>4</v>
      </c>
      <c r="I78">
        <v>35.299999999999997</v>
      </c>
      <c r="J78">
        <v>59.1</v>
      </c>
      <c r="K78">
        <v>-0.29999999999999716</v>
      </c>
      <c r="L78">
        <v>364</v>
      </c>
      <c r="M78">
        <v>99</v>
      </c>
      <c r="N78">
        <v>5</v>
      </c>
      <c r="O78">
        <v>10</v>
      </c>
      <c r="P78">
        <v>34</v>
      </c>
      <c r="Q78">
        <v>1</v>
      </c>
      <c r="R78">
        <v>4</v>
      </c>
      <c r="S78">
        <v>90</v>
      </c>
      <c r="T78">
        <v>0</v>
      </c>
      <c r="U78">
        <v>10</v>
      </c>
      <c r="V78">
        <v>110</v>
      </c>
      <c r="W78">
        <v>1001</v>
      </c>
      <c r="X78">
        <v>679</v>
      </c>
      <c r="Y78">
        <v>463</v>
      </c>
      <c r="Z78">
        <v>11491</v>
      </c>
      <c r="AA78">
        <v>15</v>
      </c>
      <c r="AB78">
        <v>2072</v>
      </c>
      <c r="AC78">
        <v>636</v>
      </c>
      <c r="AD78">
        <v>156</v>
      </c>
      <c r="AE78">
        <v>87.12</v>
      </c>
      <c r="AF78">
        <v>13.62</v>
      </c>
      <c r="AG78">
        <v>28</v>
      </c>
      <c r="AH78">
        <v>29</v>
      </c>
      <c r="AI78">
        <v>194.35</v>
      </c>
      <c r="AJ78">
        <v>41</v>
      </c>
      <c r="AK78">
        <v>4.7402439024390244</v>
      </c>
      <c r="AL78">
        <v>30426</v>
      </c>
      <c r="AM78">
        <v>0.08</v>
      </c>
      <c r="AN78">
        <v>0</v>
      </c>
      <c r="AO78">
        <v>0</v>
      </c>
      <c r="AP78">
        <v>0</v>
      </c>
      <c r="AQ78">
        <v>0</v>
      </c>
      <c r="AR78">
        <v>0</v>
      </c>
      <c r="AS78" t="s">
        <v>93</v>
      </c>
      <c r="AT78" t="s">
        <v>142</v>
      </c>
    </row>
    <row r="79" spans="1:46" x14ac:dyDescent="0.25">
      <c r="A79">
        <v>18</v>
      </c>
      <c r="B79" t="s">
        <v>33</v>
      </c>
      <c r="C79">
        <v>34</v>
      </c>
      <c r="D79">
        <v>69</v>
      </c>
      <c r="E79">
        <v>-35</v>
      </c>
      <c r="F79">
        <v>10</v>
      </c>
      <c r="G79">
        <v>66</v>
      </c>
      <c r="H79">
        <v>1</v>
      </c>
      <c r="I79">
        <v>42.4</v>
      </c>
      <c r="J79">
        <v>61.5</v>
      </c>
      <c r="K79">
        <v>-8.3999999999999986</v>
      </c>
      <c r="L79">
        <v>413</v>
      </c>
      <c r="M79">
        <v>113</v>
      </c>
      <c r="N79">
        <v>3</v>
      </c>
      <c r="O79">
        <v>4</v>
      </c>
      <c r="P79">
        <v>29</v>
      </c>
      <c r="Q79">
        <v>5</v>
      </c>
      <c r="R79">
        <v>0</v>
      </c>
      <c r="S79">
        <v>77</v>
      </c>
      <c r="T79">
        <v>0</v>
      </c>
      <c r="U79">
        <v>7</v>
      </c>
      <c r="V79">
        <v>135</v>
      </c>
      <c r="W79">
        <v>1034</v>
      </c>
      <c r="X79">
        <v>655</v>
      </c>
      <c r="Y79">
        <v>374</v>
      </c>
      <c r="Z79">
        <v>7170</v>
      </c>
      <c r="AA79">
        <v>39</v>
      </c>
      <c r="AB79">
        <v>1418</v>
      </c>
      <c r="AC79">
        <v>562</v>
      </c>
      <c r="AD79">
        <v>168</v>
      </c>
      <c r="AE79">
        <v>51.2</v>
      </c>
      <c r="AF79">
        <v>0</v>
      </c>
      <c r="AG79">
        <v>18</v>
      </c>
      <c r="AH79">
        <v>18</v>
      </c>
      <c r="AI79">
        <v>113</v>
      </c>
      <c r="AJ79">
        <v>35</v>
      </c>
      <c r="AK79">
        <v>3.2285714285714286</v>
      </c>
      <c r="AL79">
        <v>31408</v>
      </c>
      <c r="AM79">
        <v>0.08</v>
      </c>
      <c r="AN79">
        <v>0</v>
      </c>
      <c r="AO79">
        <v>1</v>
      </c>
      <c r="AP79">
        <v>0</v>
      </c>
      <c r="AQ79">
        <v>1</v>
      </c>
      <c r="AR79">
        <v>0</v>
      </c>
      <c r="AS79" t="s">
        <v>93</v>
      </c>
      <c r="AT79" t="s">
        <v>142</v>
      </c>
    </row>
    <row r="80" spans="1:46" x14ac:dyDescent="0.25">
      <c r="A80">
        <v>19</v>
      </c>
      <c r="B80" t="s">
        <v>27</v>
      </c>
      <c r="C80">
        <v>34</v>
      </c>
      <c r="D80">
        <v>81</v>
      </c>
      <c r="E80">
        <v>-47</v>
      </c>
      <c r="F80">
        <v>5</v>
      </c>
      <c r="G80">
        <v>68</v>
      </c>
      <c r="H80">
        <v>2</v>
      </c>
      <c r="I80">
        <v>41.3</v>
      </c>
      <c r="J80">
        <v>68.2</v>
      </c>
      <c r="K80">
        <v>-7.2999999999999972</v>
      </c>
      <c r="L80">
        <v>451</v>
      </c>
      <c r="M80">
        <v>140</v>
      </c>
      <c r="N80">
        <v>2</v>
      </c>
      <c r="O80">
        <v>7</v>
      </c>
      <c r="P80">
        <v>30</v>
      </c>
      <c r="Q80">
        <v>4</v>
      </c>
      <c r="R80">
        <v>2</v>
      </c>
      <c r="S80">
        <v>90</v>
      </c>
      <c r="T80">
        <v>2</v>
      </c>
      <c r="U80">
        <v>7</v>
      </c>
      <c r="V80">
        <v>146</v>
      </c>
      <c r="W80">
        <v>1030</v>
      </c>
      <c r="X80">
        <v>596</v>
      </c>
      <c r="Y80">
        <v>423</v>
      </c>
      <c r="Z80">
        <v>15096</v>
      </c>
      <c r="AA80">
        <v>33</v>
      </c>
      <c r="AB80">
        <v>2750</v>
      </c>
      <c r="AC80">
        <v>611</v>
      </c>
      <c r="AD80">
        <v>161</v>
      </c>
      <c r="AE80">
        <v>116.5</v>
      </c>
      <c r="AF80">
        <v>5.35</v>
      </c>
      <c r="AG80">
        <v>18</v>
      </c>
      <c r="AH80">
        <v>11</v>
      </c>
      <c r="AI80">
        <v>254.25</v>
      </c>
      <c r="AJ80">
        <v>33</v>
      </c>
      <c r="AK80">
        <v>7.7045454545454541</v>
      </c>
      <c r="AL80">
        <v>24371</v>
      </c>
      <c r="AM80">
        <v>0.21</v>
      </c>
      <c r="AN80">
        <v>0</v>
      </c>
      <c r="AO80">
        <v>1</v>
      </c>
      <c r="AP80">
        <v>0</v>
      </c>
      <c r="AQ80">
        <v>1</v>
      </c>
      <c r="AR80">
        <v>0</v>
      </c>
      <c r="AS80" t="s">
        <v>93</v>
      </c>
      <c r="AT80" t="s">
        <v>142</v>
      </c>
    </row>
    <row r="81" spans="1:46" x14ac:dyDescent="0.25">
      <c r="A81">
        <v>20</v>
      </c>
      <c r="B81" t="s">
        <v>34</v>
      </c>
      <c r="C81">
        <v>22</v>
      </c>
      <c r="D81">
        <v>76</v>
      </c>
      <c r="E81">
        <v>-54</v>
      </c>
      <c r="F81">
        <v>5</v>
      </c>
      <c r="G81">
        <v>55</v>
      </c>
      <c r="H81">
        <v>4</v>
      </c>
      <c r="I81">
        <v>28.8</v>
      </c>
      <c r="J81">
        <v>60.9</v>
      </c>
      <c r="K81">
        <v>-6.8000000000000007</v>
      </c>
      <c r="L81">
        <v>400</v>
      </c>
      <c r="M81">
        <v>116</v>
      </c>
      <c r="N81">
        <v>1</v>
      </c>
      <c r="O81">
        <v>8</v>
      </c>
      <c r="P81">
        <v>17</v>
      </c>
      <c r="Q81">
        <v>5</v>
      </c>
      <c r="R81">
        <v>1</v>
      </c>
      <c r="S81">
        <v>63</v>
      </c>
      <c r="T81">
        <v>1</v>
      </c>
      <c r="U81">
        <v>8</v>
      </c>
      <c r="V81">
        <v>110</v>
      </c>
      <c r="W81">
        <v>682</v>
      </c>
      <c r="X81">
        <v>708</v>
      </c>
      <c r="Y81">
        <v>420</v>
      </c>
      <c r="Z81">
        <v>13045</v>
      </c>
      <c r="AA81">
        <v>23</v>
      </c>
      <c r="AB81">
        <v>2492</v>
      </c>
      <c r="AC81">
        <v>768</v>
      </c>
      <c r="AD81">
        <v>162</v>
      </c>
      <c r="AE81">
        <v>50.7</v>
      </c>
      <c r="AF81">
        <v>12.33</v>
      </c>
      <c r="AG81">
        <v>14</v>
      </c>
      <c r="AH81">
        <v>16</v>
      </c>
      <c r="AI81">
        <v>137.44999999999999</v>
      </c>
      <c r="AJ81">
        <v>33</v>
      </c>
      <c r="AK81">
        <v>4.165151515151515</v>
      </c>
      <c r="AL81">
        <v>23203</v>
      </c>
      <c r="AM81">
        <v>0.05</v>
      </c>
      <c r="AN81">
        <v>0</v>
      </c>
      <c r="AO81">
        <v>0</v>
      </c>
      <c r="AP81">
        <v>0</v>
      </c>
      <c r="AQ81">
        <v>1</v>
      </c>
      <c r="AR81">
        <v>0</v>
      </c>
      <c r="AS81" t="s">
        <v>93</v>
      </c>
      <c r="AT81" t="s">
        <v>142</v>
      </c>
    </row>
    <row r="82" spans="1:46" x14ac:dyDescent="0.25">
      <c r="A82">
        <v>1</v>
      </c>
      <c r="B82" t="s">
        <v>1</v>
      </c>
      <c r="C82">
        <v>85</v>
      </c>
      <c r="D82">
        <v>33</v>
      </c>
      <c r="E82">
        <v>52</v>
      </c>
      <c r="F82">
        <v>15</v>
      </c>
      <c r="G82">
        <v>38</v>
      </c>
      <c r="H82">
        <v>1</v>
      </c>
      <c r="I82">
        <v>68.900000000000006</v>
      </c>
      <c r="J82">
        <v>37.700000000000003</v>
      </c>
      <c r="K82">
        <v>16.099999999999994</v>
      </c>
      <c r="L82">
        <v>586</v>
      </c>
      <c r="M82">
        <v>224</v>
      </c>
      <c r="N82">
        <v>5</v>
      </c>
      <c r="O82">
        <v>19</v>
      </c>
      <c r="P82">
        <v>72</v>
      </c>
      <c r="Q82">
        <v>14</v>
      </c>
      <c r="R82">
        <v>11</v>
      </c>
      <c r="S82">
        <v>53</v>
      </c>
      <c r="T82">
        <v>1</v>
      </c>
      <c r="U82">
        <v>1</v>
      </c>
      <c r="V82">
        <v>75</v>
      </c>
      <c r="W82">
        <v>634</v>
      </c>
      <c r="X82">
        <v>550</v>
      </c>
      <c r="Y82">
        <v>331</v>
      </c>
      <c r="Z82">
        <v>21276</v>
      </c>
      <c r="AA82">
        <v>68</v>
      </c>
      <c r="AB82">
        <v>3395</v>
      </c>
      <c r="AC82">
        <v>896</v>
      </c>
      <c r="AD82">
        <v>257</v>
      </c>
      <c r="AE82">
        <v>10.4</v>
      </c>
      <c r="AF82">
        <v>44.5</v>
      </c>
      <c r="AG82">
        <v>15</v>
      </c>
      <c r="AH82">
        <v>16</v>
      </c>
      <c r="AI82">
        <v>1000</v>
      </c>
      <c r="AJ82">
        <v>56</v>
      </c>
      <c r="AK82">
        <v>17.857142857142858</v>
      </c>
      <c r="AL82">
        <v>41955</v>
      </c>
      <c r="AM82">
        <v>0.13</v>
      </c>
      <c r="AN82">
        <v>1</v>
      </c>
      <c r="AO82">
        <v>0</v>
      </c>
      <c r="AP82">
        <v>1</v>
      </c>
      <c r="AQ82">
        <v>0</v>
      </c>
      <c r="AR82">
        <v>1</v>
      </c>
      <c r="AS82" t="s">
        <v>97</v>
      </c>
      <c r="AT82" t="s">
        <v>143</v>
      </c>
    </row>
    <row r="83" spans="1:46" x14ac:dyDescent="0.25">
      <c r="A83">
        <v>2</v>
      </c>
      <c r="B83" t="s">
        <v>25</v>
      </c>
      <c r="C83">
        <v>102</v>
      </c>
      <c r="D83">
        <v>35</v>
      </c>
      <c r="E83">
        <v>67</v>
      </c>
      <c r="F83">
        <v>17</v>
      </c>
      <c r="G83">
        <v>60</v>
      </c>
      <c r="H83">
        <v>4</v>
      </c>
      <c r="I83">
        <v>92</v>
      </c>
      <c r="J83">
        <v>36.200000000000003</v>
      </c>
      <c r="K83">
        <v>10</v>
      </c>
      <c r="L83">
        <v>735</v>
      </c>
      <c r="M83">
        <v>250</v>
      </c>
      <c r="N83">
        <v>6</v>
      </c>
      <c r="O83">
        <v>11</v>
      </c>
      <c r="P83">
        <v>85</v>
      </c>
      <c r="Q83">
        <v>18</v>
      </c>
      <c r="R83">
        <v>4</v>
      </c>
      <c r="S83">
        <v>68</v>
      </c>
      <c r="T83">
        <v>1</v>
      </c>
      <c r="U83">
        <v>3</v>
      </c>
      <c r="V83">
        <v>76</v>
      </c>
      <c r="W83">
        <v>495</v>
      </c>
      <c r="X83">
        <v>514</v>
      </c>
      <c r="Y83">
        <v>362</v>
      </c>
      <c r="Z83">
        <v>24557</v>
      </c>
      <c r="AA83">
        <v>85</v>
      </c>
      <c r="AB83">
        <v>4216</v>
      </c>
      <c r="AC83">
        <v>915</v>
      </c>
      <c r="AD83">
        <v>298</v>
      </c>
      <c r="AE83">
        <v>159.52000000000001</v>
      </c>
      <c r="AF83">
        <v>71</v>
      </c>
      <c r="AG83">
        <v>25</v>
      </c>
      <c r="AH83">
        <v>26</v>
      </c>
      <c r="AI83">
        <v>1050</v>
      </c>
      <c r="AJ83">
        <v>34</v>
      </c>
      <c r="AK83">
        <v>30.882352941176471</v>
      </c>
      <c r="AL83">
        <v>37097</v>
      </c>
      <c r="AM83">
        <v>0.19</v>
      </c>
      <c r="AN83">
        <v>1</v>
      </c>
      <c r="AO83">
        <v>0</v>
      </c>
      <c r="AP83">
        <v>1</v>
      </c>
      <c r="AQ83">
        <v>0</v>
      </c>
      <c r="AR83">
        <v>1</v>
      </c>
      <c r="AS83" t="s">
        <v>97</v>
      </c>
      <c r="AT83" t="s">
        <v>143</v>
      </c>
    </row>
    <row r="84" spans="1:46" x14ac:dyDescent="0.25">
      <c r="A84">
        <v>3</v>
      </c>
      <c r="B84" t="s">
        <v>4</v>
      </c>
      <c r="C84">
        <v>66</v>
      </c>
      <c r="D84">
        <v>36</v>
      </c>
      <c r="E84">
        <v>30</v>
      </c>
      <c r="F84">
        <v>13</v>
      </c>
      <c r="G84">
        <v>73</v>
      </c>
      <c r="H84">
        <v>0</v>
      </c>
      <c r="I84">
        <v>62.2</v>
      </c>
      <c r="J84">
        <v>37.700000000000003</v>
      </c>
      <c r="K84">
        <v>3.7999999999999972</v>
      </c>
      <c r="L84">
        <v>530</v>
      </c>
      <c r="M84">
        <v>201</v>
      </c>
      <c r="N84">
        <v>10</v>
      </c>
      <c r="O84">
        <v>5</v>
      </c>
      <c r="P84">
        <v>54</v>
      </c>
      <c r="Q84">
        <v>12</v>
      </c>
      <c r="R84">
        <v>6</v>
      </c>
      <c r="S84">
        <v>56</v>
      </c>
      <c r="T84">
        <v>1</v>
      </c>
      <c r="U84">
        <v>3</v>
      </c>
      <c r="V84">
        <v>96</v>
      </c>
      <c r="W84">
        <v>703</v>
      </c>
      <c r="X84">
        <v>579</v>
      </c>
      <c r="Y84">
        <v>423</v>
      </c>
      <c r="Z84">
        <v>17744</v>
      </c>
      <c r="AA84">
        <v>64</v>
      </c>
      <c r="AB84">
        <v>2790</v>
      </c>
      <c r="AC84">
        <v>635</v>
      </c>
      <c r="AD84">
        <v>204</v>
      </c>
      <c r="AE84">
        <v>234.8</v>
      </c>
      <c r="AF84">
        <v>81.180000000000007</v>
      </c>
      <c r="AG84">
        <v>13</v>
      </c>
      <c r="AH84">
        <v>12</v>
      </c>
      <c r="AI84">
        <v>670.45</v>
      </c>
      <c r="AJ84">
        <v>43</v>
      </c>
      <c r="AK84">
        <v>15.59186046511628</v>
      </c>
      <c r="AL84">
        <v>57415</v>
      </c>
      <c r="AM84">
        <v>0.14000000000000001</v>
      </c>
      <c r="AN84">
        <v>1</v>
      </c>
      <c r="AO84">
        <v>0</v>
      </c>
      <c r="AP84">
        <v>1</v>
      </c>
      <c r="AQ84">
        <v>0</v>
      </c>
      <c r="AR84">
        <v>1</v>
      </c>
      <c r="AS84" t="s">
        <v>97</v>
      </c>
      <c r="AT84" t="s">
        <v>143</v>
      </c>
    </row>
    <row r="85" spans="1:46" x14ac:dyDescent="0.25">
      <c r="A85">
        <v>4</v>
      </c>
      <c r="B85" t="s">
        <v>2</v>
      </c>
      <c r="C85">
        <v>69</v>
      </c>
      <c r="D85">
        <v>54</v>
      </c>
      <c r="E85">
        <v>15</v>
      </c>
      <c r="F85">
        <v>9</v>
      </c>
      <c r="G85">
        <v>60</v>
      </c>
      <c r="H85">
        <v>0</v>
      </c>
      <c r="I85">
        <v>69.2</v>
      </c>
      <c r="J85">
        <v>38.6</v>
      </c>
      <c r="K85">
        <v>-0.20000000000000284</v>
      </c>
      <c r="L85">
        <v>618</v>
      </c>
      <c r="M85">
        <v>210</v>
      </c>
      <c r="N85">
        <v>7</v>
      </c>
      <c r="O85">
        <v>9</v>
      </c>
      <c r="P85">
        <v>59</v>
      </c>
      <c r="Q85">
        <v>10</v>
      </c>
      <c r="R85">
        <v>8</v>
      </c>
      <c r="S85">
        <v>63</v>
      </c>
      <c r="T85">
        <v>3</v>
      </c>
      <c r="U85">
        <v>2</v>
      </c>
      <c r="V85">
        <v>64</v>
      </c>
      <c r="W85">
        <v>631</v>
      </c>
      <c r="X85">
        <v>638</v>
      </c>
      <c r="Y85">
        <v>386</v>
      </c>
      <c r="Z85">
        <v>20958</v>
      </c>
      <c r="AA85">
        <v>61</v>
      </c>
      <c r="AB85">
        <v>3668</v>
      </c>
      <c r="AC85">
        <v>862</v>
      </c>
      <c r="AD85">
        <v>247</v>
      </c>
      <c r="AE85">
        <v>45</v>
      </c>
      <c r="AF85">
        <v>157.27000000000001</v>
      </c>
      <c r="AG85">
        <v>22</v>
      </c>
      <c r="AH85">
        <v>29</v>
      </c>
      <c r="AI85">
        <v>705.85</v>
      </c>
      <c r="AJ85">
        <v>36</v>
      </c>
      <c r="AK85">
        <v>19.606944444444444</v>
      </c>
      <c r="AL85">
        <v>32023</v>
      </c>
      <c r="AM85">
        <v>0.14000000000000001</v>
      </c>
      <c r="AN85">
        <v>1</v>
      </c>
      <c r="AO85">
        <v>0</v>
      </c>
      <c r="AP85">
        <v>1</v>
      </c>
      <c r="AQ85">
        <v>0</v>
      </c>
      <c r="AR85">
        <v>1</v>
      </c>
      <c r="AS85" t="s">
        <v>97</v>
      </c>
      <c r="AT85" t="s">
        <v>143</v>
      </c>
    </row>
    <row r="86" spans="1:46" x14ac:dyDescent="0.25">
      <c r="A86">
        <v>5</v>
      </c>
      <c r="B86" t="s">
        <v>7</v>
      </c>
      <c r="C86">
        <v>67</v>
      </c>
      <c r="D86">
        <v>41</v>
      </c>
      <c r="E86">
        <v>26</v>
      </c>
      <c r="F86">
        <v>13</v>
      </c>
      <c r="G86">
        <v>41</v>
      </c>
      <c r="H86">
        <v>3</v>
      </c>
      <c r="I86">
        <v>62.2</v>
      </c>
      <c r="J86">
        <v>45.5</v>
      </c>
      <c r="K86">
        <v>4.7999999999999972</v>
      </c>
      <c r="L86">
        <v>533</v>
      </c>
      <c r="M86">
        <v>183</v>
      </c>
      <c r="N86">
        <v>5</v>
      </c>
      <c r="O86">
        <v>11</v>
      </c>
      <c r="P86">
        <v>59</v>
      </c>
      <c r="Q86">
        <v>9</v>
      </c>
      <c r="R86">
        <v>9</v>
      </c>
      <c r="S86">
        <v>64</v>
      </c>
      <c r="T86">
        <v>2</v>
      </c>
      <c r="U86">
        <v>10</v>
      </c>
      <c r="V86">
        <v>94</v>
      </c>
      <c r="W86">
        <v>767</v>
      </c>
      <c r="X86">
        <v>742</v>
      </c>
      <c r="Y86">
        <v>418</v>
      </c>
      <c r="Z86">
        <v>17600</v>
      </c>
      <c r="AA86">
        <v>68</v>
      </c>
      <c r="AB86">
        <v>2975</v>
      </c>
      <c r="AC86">
        <v>779</v>
      </c>
      <c r="AD86">
        <v>221</v>
      </c>
      <c r="AE86">
        <v>104.3</v>
      </c>
      <c r="AF86">
        <v>88.5</v>
      </c>
      <c r="AG86">
        <v>13</v>
      </c>
      <c r="AH86">
        <v>13</v>
      </c>
      <c r="AI86">
        <v>411.1</v>
      </c>
      <c r="AJ86">
        <v>32</v>
      </c>
      <c r="AK86">
        <v>12.846875000000001</v>
      </c>
      <c r="AL86">
        <v>25312</v>
      </c>
      <c r="AM86">
        <v>0.12</v>
      </c>
      <c r="AN86">
        <v>0</v>
      </c>
      <c r="AO86">
        <v>0</v>
      </c>
      <c r="AP86">
        <v>0</v>
      </c>
      <c r="AQ86">
        <v>0</v>
      </c>
      <c r="AR86">
        <v>0</v>
      </c>
      <c r="AS86" t="s">
        <v>97</v>
      </c>
      <c r="AT86" t="s">
        <v>143</v>
      </c>
    </row>
    <row r="87" spans="1:46" x14ac:dyDescent="0.25">
      <c r="A87">
        <v>6</v>
      </c>
      <c r="B87" t="s">
        <v>3</v>
      </c>
      <c r="C87">
        <v>61</v>
      </c>
      <c r="D87">
        <v>47</v>
      </c>
      <c r="E87">
        <v>14</v>
      </c>
      <c r="F87">
        <v>8</v>
      </c>
      <c r="G87">
        <v>82</v>
      </c>
      <c r="H87">
        <v>3</v>
      </c>
      <c r="I87">
        <v>47.9</v>
      </c>
      <c r="J87">
        <v>54.2</v>
      </c>
      <c r="K87">
        <v>13.100000000000001</v>
      </c>
      <c r="L87">
        <v>440</v>
      </c>
      <c r="M87">
        <v>154</v>
      </c>
      <c r="N87">
        <v>3</v>
      </c>
      <c r="O87">
        <v>8</v>
      </c>
      <c r="P87">
        <v>55</v>
      </c>
      <c r="Q87">
        <v>6</v>
      </c>
      <c r="R87">
        <v>8</v>
      </c>
      <c r="S87">
        <v>66</v>
      </c>
      <c r="T87">
        <v>2</v>
      </c>
      <c r="U87">
        <v>7</v>
      </c>
      <c r="V87">
        <v>134</v>
      </c>
      <c r="W87">
        <v>894</v>
      </c>
      <c r="X87">
        <v>665</v>
      </c>
      <c r="Y87">
        <v>423</v>
      </c>
      <c r="Z87">
        <v>16101</v>
      </c>
      <c r="AA87">
        <v>79</v>
      </c>
      <c r="AB87">
        <v>2584</v>
      </c>
      <c r="AC87">
        <v>641</v>
      </c>
      <c r="AD87">
        <v>200</v>
      </c>
      <c r="AE87">
        <v>148.5</v>
      </c>
      <c r="AF87">
        <v>64.5</v>
      </c>
      <c r="AG87">
        <v>12</v>
      </c>
      <c r="AH87">
        <v>14</v>
      </c>
      <c r="AI87">
        <v>806.6</v>
      </c>
      <c r="AJ87">
        <v>36</v>
      </c>
      <c r="AK87">
        <v>22.405555555555555</v>
      </c>
      <c r="AL87">
        <v>43757</v>
      </c>
      <c r="AM87">
        <v>0.23</v>
      </c>
      <c r="AN87">
        <v>1</v>
      </c>
      <c r="AO87">
        <v>0</v>
      </c>
      <c r="AP87">
        <v>0</v>
      </c>
      <c r="AQ87">
        <v>0</v>
      </c>
      <c r="AR87">
        <v>1</v>
      </c>
      <c r="AS87" t="s">
        <v>97</v>
      </c>
      <c r="AT87" t="s">
        <v>143</v>
      </c>
    </row>
    <row r="88" spans="1:46" x14ac:dyDescent="0.25">
      <c r="A88">
        <v>7</v>
      </c>
      <c r="B88" t="s">
        <v>16</v>
      </c>
      <c r="C88">
        <v>52</v>
      </c>
      <c r="D88">
        <v>40</v>
      </c>
      <c r="E88">
        <v>12</v>
      </c>
      <c r="F88">
        <v>13</v>
      </c>
      <c r="G88">
        <v>57</v>
      </c>
      <c r="H88">
        <v>2</v>
      </c>
      <c r="I88">
        <v>54.1</v>
      </c>
      <c r="J88">
        <v>38</v>
      </c>
      <c r="K88">
        <v>-2.1000000000000014</v>
      </c>
      <c r="L88">
        <v>457</v>
      </c>
      <c r="M88">
        <v>142</v>
      </c>
      <c r="N88">
        <v>4</v>
      </c>
      <c r="O88">
        <v>10</v>
      </c>
      <c r="P88">
        <v>46</v>
      </c>
      <c r="Q88">
        <v>7</v>
      </c>
      <c r="R88">
        <v>6</v>
      </c>
      <c r="S88">
        <v>49</v>
      </c>
      <c r="T88">
        <v>1</v>
      </c>
      <c r="U88">
        <v>3</v>
      </c>
      <c r="V88">
        <v>88</v>
      </c>
      <c r="W88">
        <v>702</v>
      </c>
      <c r="X88">
        <v>646</v>
      </c>
      <c r="Y88">
        <v>407</v>
      </c>
      <c r="Z88">
        <v>14298</v>
      </c>
      <c r="AA88">
        <v>40</v>
      </c>
      <c r="AB88">
        <v>2601</v>
      </c>
      <c r="AC88">
        <v>718</v>
      </c>
      <c r="AD88">
        <v>193</v>
      </c>
      <c r="AE88">
        <v>116.7</v>
      </c>
      <c r="AF88">
        <v>24.1</v>
      </c>
      <c r="AG88">
        <v>28</v>
      </c>
      <c r="AH88">
        <v>26</v>
      </c>
      <c r="AI88">
        <v>320.33</v>
      </c>
      <c r="AJ88">
        <v>44</v>
      </c>
      <c r="AK88">
        <v>7.2802272727272728</v>
      </c>
      <c r="AL88">
        <v>24758</v>
      </c>
      <c r="AM88">
        <v>0.06</v>
      </c>
      <c r="AN88">
        <v>1</v>
      </c>
      <c r="AO88">
        <v>0</v>
      </c>
      <c r="AP88">
        <v>0</v>
      </c>
      <c r="AQ88">
        <v>0</v>
      </c>
      <c r="AR88">
        <v>0</v>
      </c>
      <c r="AS88" t="s">
        <v>97</v>
      </c>
      <c r="AT88" t="s">
        <v>143</v>
      </c>
    </row>
    <row r="89" spans="1:46" x14ac:dyDescent="0.25">
      <c r="A89">
        <v>8</v>
      </c>
      <c r="B89" t="s">
        <v>6</v>
      </c>
      <c r="C89">
        <v>56</v>
      </c>
      <c r="D89">
        <v>48</v>
      </c>
      <c r="E89">
        <v>8</v>
      </c>
      <c r="F89">
        <v>10</v>
      </c>
      <c r="G89">
        <v>86</v>
      </c>
      <c r="H89">
        <v>5</v>
      </c>
      <c r="I89">
        <v>47</v>
      </c>
      <c r="J89">
        <v>55.3</v>
      </c>
      <c r="K89">
        <v>9</v>
      </c>
      <c r="L89">
        <v>403</v>
      </c>
      <c r="M89">
        <v>146</v>
      </c>
      <c r="N89">
        <v>3</v>
      </c>
      <c r="O89">
        <v>5</v>
      </c>
      <c r="P89">
        <v>51</v>
      </c>
      <c r="Q89">
        <v>5</v>
      </c>
      <c r="R89">
        <v>2</v>
      </c>
      <c r="S89">
        <v>73</v>
      </c>
      <c r="T89">
        <v>0</v>
      </c>
      <c r="U89">
        <v>8</v>
      </c>
      <c r="V89">
        <v>144</v>
      </c>
      <c r="W89">
        <v>754</v>
      </c>
      <c r="X89">
        <v>584</v>
      </c>
      <c r="Y89">
        <v>421</v>
      </c>
      <c r="Z89">
        <v>16634</v>
      </c>
      <c r="AA89">
        <v>67</v>
      </c>
      <c r="AB89">
        <v>3032</v>
      </c>
      <c r="AC89">
        <v>699</v>
      </c>
      <c r="AD89">
        <v>231</v>
      </c>
      <c r="AE89">
        <v>160.80000000000001</v>
      </c>
      <c r="AF89">
        <v>53.65</v>
      </c>
      <c r="AG89">
        <v>16</v>
      </c>
      <c r="AH89">
        <v>19</v>
      </c>
      <c r="AI89">
        <v>607.65</v>
      </c>
      <c r="AJ89">
        <v>38</v>
      </c>
      <c r="AK89">
        <v>15.99078947368421</v>
      </c>
      <c r="AL89">
        <v>47589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1</v>
      </c>
      <c r="AS89" t="s">
        <v>97</v>
      </c>
      <c r="AT89" t="s">
        <v>143</v>
      </c>
    </row>
    <row r="90" spans="1:46" x14ac:dyDescent="0.25">
      <c r="A90">
        <v>9</v>
      </c>
      <c r="B90" t="s">
        <v>29</v>
      </c>
      <c r="C90">
        <v>39</v>
      </c>
      <c r="D90">
        <v>39</v>
      </c>
      <c r="E90">
        <v>0</v>
      </c>
      <c r="F90">
        <v>13</v>
      </c>
      <c r="G90">
        <v>61</v>
      </c>
      <c r="H90">
        <v>3</v>
      </c>
      <c r="I90">
        <v>43</v>
      </c>
      <c r="J90">
        <v>51</v>
      </c>
      <c r="K90">
        <v>-4</v>
      </c>
      <c r="L90">
        <v>352</v>
      </c>
      <c r="M90">
        <v>109</v>
      </c>
      <c r="N90">
        <v>1</v>
      </c>
      <c r="O90">
        <v>5</v>
      </c>
      <c r="P90">
        <v>38</v>
      </c>
      <c r="Q90">
        <v>1</v>
      </c>
      <c r="R90">
        <v>3</v>
      </c>
      <c r="S90">
        <v>78</v>
      </c>
      <c r="T90">
        <v>0</v>
      </c>
      <c r="U90">
        <v>3</v>
      </c>
      <c r="V90">
        <v>99</v>
      </c>
      <c r="W90">
        <v>931</v>
      </c>
      <c r="X90">
        <v>611</v>
      </c>
      <c r="Y90">
        <v>412</v>
      </c>
      <c r="Z90">
        <v>12125</v>
      </c>
      <c r="AA90">
        <v>15</v>
      </c>
      <c r="AB90">
        <v>2312</v>
      </c>
      <c r="AC90">
        <v>866</v>
      </c>
      <c r="AD90">
        <v>212</v>
      </c>
      <c r="AE90">
        <v>70.5</v>
      </c>
      <c r="AF90">
        <v>0.35</v>
      </c>
      <c r="AG90">
        <v>23</v>
      </c>
      <c r="AH90">
        <v>21</v>
      </c>
      <c r="AI90">
        <v>138.6</v>
      </c>
      <c r="AJ90">
        <v>34</v>
      </c>
      <c r="AK90">
        <v>4.0764705882352938</v>
      </c>
      <c r="AL90">
        <v>24370</v>
      </c>
      <c r="AM90">
        <v>0.23</v>
      </c>
      <c r="AN90">
        <v>0</v>
      </c>
      <c r="AO90">
        <v>1</v>
      </c>
      <c r="AP90">
        <v>0</v>
      </c>
      <c r="AQ90">
        <v>0</v>
      </c>
      <c r="AR90">
        <v>0</v>
      </c>
      <c r="AS90" t="s">
        <v>97</v>
      </c>
      <c r="AT90" t="s">
        <v>143</v>
      </c>
    </row>
    <row r="91" spans="1:46" x14ac:dyDescent="0.25">
      <c r="A91">
        <v>10</v>
      </c>
      <c r="B91" t="s">
        <v>17</v>
      </c>
      <c r="C91">
        <v>43</v>
      </c>
      <c r="D91">
        <v>50</v>
      </c>
      <c r="E91">
        <v>-7</v>
      </c>
      <c r="F91">
        <v>15</v>
      </c>
      <c r="G91">
        <v>67</v>
      </c>
      <c r="H91">
        <v>0</v>
      </c>
      <c r="I91">
        <v>47.4</v>
      </c>
      <c r="J91">
        <v>49.8</v>
      </c>
      <c r="K91">
        <v>-4.3999999999999986</v>
      </c>
      <c r="L91">
        <v>384</v>
      </c>
      <c r="M91">
        <v>124</v>
      </c>
      <c r="N91">
        <v>3</v>
      </c>
      <c r="O91">
        <v>12</v>
      </c>
      <c r="P91">
        <v>37</v>
      </c>
      <c r="Q91">
        <v>6</v>
      </c>
      <c r="R91">
        <v>2</v>
      </c>
      <c r="S91">
        <v>89</v>
      </c>
      <c r="T91">
        <v>1</v>
      </c>
      <c r="U91">
        <v>5</v>
      </c>
      <c r="V91">
        <v>117</v>
      </c>
      <c r="W91">
        <v>901</v>
      </c>
      <c r="X91">
        <v>547</v>
      </c>
      <c r="Y91">
        <v>412</v>
      </c>
      <c r="Z91">
        <v>10049</v>
      </c>
      <c r="AA91">
        <v>29</v>
      </c>
      <c r="AB91">
        <v>1983</v>
      </c>
      <c r="AC91">
        <v>743</v>
      </c>
      <c r="AD91">
        <v>170</v>
      </c>
      <c r="AE91">
        <v>23.85</v>
      </c>
      <c r="AF91">
        <v>13.55</v>
      </c>
      <c r="AG91">
        <v>8</v>
      </c>
      <c r="AH91">
        <v>10</v>
      </c>
      <c r="AI91">
        <v>163.88</v>
      </c>
      <c r="AJ91">
        <v>35</v>
      </c>
      <c r="AK91">
        <v>4.6822857142857144</v>
      </c>
      <c r="AL91">
        <v>15995</v>
      </c>
      <c r="AM91">
        <v>0.1</v>
      </c>
      <c r="AN91">
        <v>0</v>
      </c>
      <c r="AO91">
        <v>0</v>
      </c>
      <c r="AP91">
        <v>0</v>
      </c>
      <c r="AQ91">
        <v>0</v>
      </c>
      <c r="AR91">
        <v>0</v>
      </c>
      <c r="AS91" t="s">
        <v>97</v>
      </c>
      <c r="AT91" t="s">
        <v>143</v>
      </c>
    </row>
    <row r="92" spans="1:46" x14ac:dyDescent="0.25">
      <c r="A92">
        <v>11</v>
      </c>
      <c r="B92" t="s">
        <v>11</v>
      </c>
      <c r="C92">
        <v>51</v>
      </c>
      <c r="D92">
        <v>60</v>
      </c>
      <c r="E92">
        <v>-9</v>
      </c>
      <c r="F92">
        <v>9</v>
      </c>
      <c r="G92">
        <v>53</v>
      </c>
      <c r="H92">
        <v>4</v>
      </c>
      <c r="I92">
        <v>56.1</v>
      </c>
      <c r="J92">
        <v>52.8</v>
      </c>
      <c r="K92">
        <v>-5.1000000000000014</v>
      </c>
      <c r="L92">
        <v>494</v>
      </c>
      <c r="M92">
        <v>171</v>
      </c>
      <c r="N92">
        <v>2</v>
      </c>
      <c r="O92">
        <v>4</v>
      </c>
      <c r="P92">
        <v>39</v>
      </c>
      <c r="Q92">
        <v>12</v>
      </c>
      <c r="R92">
        <v>2</v>
      </c>
      <c r="S92">
        <v>58</v>
      </c>
      <c r="T92">
        <v>1</v>
      </c>
      <c r="U92">
        <v>4</v>
      </c>
      <c r="V92">
        <v>108</v>
      </c>
      <c r="W92">
        <v>867</v>
      </c>
      <c r="X92">
        <v>706</v>
      </c>
      <c r="Y92">
        <v>450</v>
      </c>
      <c r="Z92">
        <v>12488</v>
      </c>
      <c r="AA92">
        <v>27</v>
      </c>
      <c r="AB92">
        <v>2400</v>
      </c>
      <c r="AC92">
        <v>690</v>
      </c>
      <c r="AD92">
        <v>210</v>
      </c>
      <c r="AE92">
        <v>61.5</v>
      </c>
      <c r="AF92">
        <v>27.3</v>
      </c>
      <c r="AG92">
        <v>14</v>
      </c>
      <c r="AH92">
        <v>17</v>
      </c>
      <c r="AI92">
        <v>210.75</v>
      </c>
      <c r="AJ92">
        <v>36</v>
      </c>
      <c r="AK92">
        <v>5.854166666666667</v>
      </c>
      <c r="AL92">
        <v>23428</v>
      </c>
      <c r="AM92">
        <v>-0.17</v>
      </c>
      <c r="AN92">
        <v>0</v>
      </c>
      <c r="AO92">
        <v>0</v>
      </c>
      <c r="AP92">
        <v>0</v>
      </c>
      <c r="AQ92">
        <v>0</v>
      </c>
      <c r="AR92">
        <v>0</v>
      </c>
      <c r="AS92" t="s">
        <v>97</v>
      </c>
      <c r="AT92" t="s">
        <v>143</v>
      </c>
    </row>
    <row r="93" spans="1:46" x14ac:dyDescent="0.25">
      <c r="A93">
        <v>12</v>
      </c>
      <c r="B93" t="s">
        <v>15</v>
      </c>
      <c r="C93">
        <v>44</v>
      </c>
      <c r="D93">
        <v>56</v>
      </c>
      <c r="E93">
        <v>-12</v>
      </c>
      <c r="F93">
        <v>9</v>
      </c>
      <c r="G93">
        <v>70</v>
      </c>
      <c r="H93">
        <v>3</v>
      </c>
      <c r="I93">
        <v>50.8</v>
      </c>
      <c r="J93">
        <v>48.3</v>
      </c>
      <c r="K93">
        <v>-6.7999999999999972</v>
      </c>
      <c r="L93">
        <v>468</v>
      </c>
      <c r="M93">
        <v>159</v>
      </c>
      <c r="N93">
        <v>1</v>
      </c>
      <c r="O93">
        <v>16</v>
      </c>
      <c r="P93">
        <v>43</v>
      </c>
      <c r="Q93">
        <v>1</v>
      </c>
      <c r="R93">
        <v>3</v>
      </c>
      <c r="S93">
        <v>58</v>
      </c>
      <c r="T93">
        <v>3</v>
      </c>
      <c r="U93">
        <v>4</v>
      </c>
      <c r="V93">
        <v>94</v>
      </c>
      <c r="W93">
        <v>778</v>
      </c>
      <c r="X93">
        <v>671</v>
      </c>
      <c r="Y93">
        <v>472</v>
      </c>
      <c r="Z93">
        <v>13433</v>
      </c>
      <c r="AA93">
        <v>55</v>
      </c>
      <c r="AB93">
        <v>2275</v>
      </c>
      <c r="AC93">
        <v>804</v>
      </c>
      <c r="AD93">
        <v>203</v>
      </c>
      <c r="AE93">
        <v>121</v>
      </c>
      <c r="AF93">
        <v>87.8</v>
      </c>
      <c r="AG93">
        <v>22</v>
      </c>
      <c r="AH93">
        <v>22</v>
      </c>
      <c r="AI93">
        <v>420.55</v>
      </c>
      <c r="AJ93">
        <v>35</v>
      </c>
      <c r="AK93">
        <v>12.015714285714287</v>
      </c>
      <c r="AL93">
        <v>28848</v>
      </c>
      <c r="AM93">
        <v>0.17</v>
      </c>
      <c r="AN93">
        <v>0</v>
      </c>
      <c r="AO93">
        <v>0</v>
      </c>
      <c r="AP93">
        <v>0</v>
      </c>
      <c r="AQ93">
        <v>0</v>
      </c>
      <c r="AR93">
        <v>0</v>
      </c>
      <c r="AS93" t="s">
        <v>97</v>
      </c>
      <c r="AT93" t="s">
        <v>143</v>
      </c>
    </row>
    <row r="94" spans="1:46" x14ac:dyDescent="0.25">
      <c r="A94">
        <v>13</v>
      </c>
      <c r="B94" t="s">
        <v>12</v>
      </c>
      <c r="C94">
        <v>38</v>
      </c>
      <c r="D94">
        <v>58</v>
      </c>
      <c r="E94">
        <v>-20</v>
      </c>
      <c r="F94">
        <v>11</v>
      </c>
      <c r="G94">
        <v>66</v>
      </c>
      <c r="H94">
        <v>3</v>
      </c>
      <c r="I94">
        <v>35.5</v>
      </c>
      <c r="J94">
        <v>65.599999999999994</v>
      </c>
      <c r="K94">
        <v>2.5</v>
      </c>
      <c r="L94">
        <v>398</v>
      </c>
      <c r="M94">
        <v>132</v>
      </c>
      <c r="N94">
        <v>0</v>
      </c>
      <c r="O94">
        <v>7</v>
      </c>
      <c r="P94">
        <v>34</v>
      </c>
      <c r="Q94">
        <v>4</v>
      </c>
      <c r="R94">
        <v>2</v>
      </c>
      <c r="S94">
        <v>75</v>
      </c>
      <c r="T94">
        <v>2</v>
      </c>
      <c r="U94">
        <v>2</v>
      </c>
      <c r="V94">
        <v>139</v>
      </c>
      <c r="W94">
        <v>988</v>
      </c>
      <c r="X94">
        <v>603</v>
      </c>
      <c r="Y94">
        <v>370</v>
      </c>
      <c r="Z94">
        <v>10606</v>
      </c>
      <c r="AA94">
        <v>18</v>
      </c>
      <c r="AB94">
        <v>2015</v>
      </c>
      <c r="AC94">
        <v>591</v>
      </c>
      <c r="AD94">
        <v>151</v>
      </c>
      <c r="AE94">
        <v>72.900000000000006</v>
      </c>
      <c r="AF94">
        <v>35.64</v>
      </c>
      <c r="AG94">
        <v>13</v>
      </c>
      <c r="AH94">
        <v>11</v>
      </c>
      <c r="AI94">
        <v>252.48</v>
      </c>
      <c r="AJ94">
        <v>41</v>
      </c>
      <c r="AK94">
        <v>6.158048780487805</v>
      </c>
      <c r="AL94">
        <v>35551</v>
      </c>
      <c r="AM94">
        <v>0.16</v>
      </c>
      <c r="AN94">
        <v>0</v>
      </c>
      <c r="AO94">
        <v>0</v>
      </c>
      <c r="AP94">
        <v>0</v>
      </c>
      <c r="AQ94">
        <v>0</v>
      </c>
      <c r="AR94">
        <v>0</v>
      </c>
      <c r="AS94" t="s">
        <v>97</v>
      </c>
      <c r="AT94" t="s">
        <v>143</v>
      </c>
    </row>
    <row r="95" spans="1:46" x14ac:dyDescent="0.25">
      <c r="A95">
        <v>14</v>
      </c>
      <c r="B95" t="s">
        <v>9</v>
      </c>
      <c r="C95">
        <v>31</v>
      </c>
      <c r="D95">
        <v>50</v>
      </c>
      <c r="E95">
        <v>-19</v>
      </c>
      <c r="F95">
        <v>10</v>
      </c>
      <c r="G95">
        <v>62</v>
      </c>
      <c r="H95">
        <v>3</v>
      </c>
      <c r="I95">
        <v>35.799999999999997</v>
      </c>
      <c r="J95">
        <v>57</v>
      </c>
      <c r="K95">
        <v>-4.7999999999999972</v>
      </c>
      <c r="L95">
        <v>373</v>
      </c>
      <c r="M95">
        <v>115</v>
      </c>
      <c r="N95">
        <v>3</v>
      </c>
      <c r="O95">
        <v>5</v>
      </c>
      <c r="P95">
        <v>27</v>
      </c>
      <c r="Q95">
        <v>5</v>
      </c>
      <c r="R95">
        <v>1</v>
      </c>
      <c r="S95">
        <v>53</v>
      </c>
      <c r="T95">
        <v>2</v>
      </c>
      <c r="U95">
        <v>1</v>
      </c>
      <c r="V95">
        <v>124</v>
      </c>
      <c r="W95">
        <v>856</v>
      </c>
      <c r="X95">
        <v>686</v>
      </c>
      <c r="Y95">
        <v>424</v>
      </c>
      <c r="Z95">
        <v>12274</v>
      </c>
      <c r="AA95">
        <v>19</v>
      </c>
      <c r="AB95">
        <v>2344</v>
      </c>
      <c r="AC95">
        <v>588</v>
      </c>
      <c r="AD95">
        <v>177</v>
      </c>
      <c r="AE95">
        <v>7.6</v>
      </c>
      <c r="AF95">
        <v>55.38</v>
      </c>
      <c r="AG95">
        <v>13</v>
      </c>
      <c r="AH95">
        <v>15</v>
      </c>
      <c r="AI95">
        <v>189.33</v>
      </c>
      <c r="AJ95">
        <v>33</v>
      </c>
      <c r="AK95">
        <v>5.7372727272727273</v>
      </c>
      <c r="AL95">
        <v>19784</v>
      </c>
      <c r="AM95">
        <v>0.08</v>
      </c>
      <c r="AN95">
        <v>0</v>
      </c>
      <c r="AO95">
        <v>0</v>
      </c>
      <c r="AP95">
        <v>0</v>
      </c>
      <c r="AQ95">
        <v>0</v>
      </c>
      <c r="AR95">
        <v>0</v>
      </c>
      <c r="AS95" t="s">
        <v>97</v>
      </c>
      <c r="AT95" t="s">
        <v>143</v>
      </c>
    </row>
    <row r="96" spans="1:46" x14ac:dyDescent="0.25">
      <c r="A96">
        <v>15</v>
      </c>
      <c r="B96" t="s">
        <v>14</v>
      </c>
      <c r="C96">
        <v>39</v>
      </c>
      <c r="D96">
        <v>54</v>
      </c>
      <c r="E96">
        <v>-15</v>
      </c>
      <c r="F96">
        <v>9</v>
      </c>
      <c r="G96">
        <v>57</v>
      </c>
      <c r="H96">
        <v>2</v>
      </c>
      <c r="I96">
        <v>45.4</v>
      </c>
      <c r="J96">
        <v>55</v>
      </c>
      <c r="K96">
        <v>-6.3999999999999986</v>
      </c>
      <c r="L96">
        <v>460</v>
      </c>
      <c r="M96">
        <v>139</v>
      </c>
      <c r="N96">
        <v>1</v>
      </c>
      <c r="O96">
        <v>8</v>
      </c>
      <c r="P96">
        <v>35</v>
      </c>
      <c r="Q96">
        <v>4</v>
      </c>
      <c r="R96">
        <v>2</v>
      </c>
      <c r="S96">
        <v>71</v>
      </c>
      <c r="T96">
        <v>2</v>
      </c>
      <c r="U96">
        <v>2</v>
      </c>
      <c r="V96">
        <v>116</v>
      </c>
      <c r="W96">
        <v>750</v>
      </c>
      <c r="X96">
        <v>641</v>
      </c>
      <c r="Y96">
        <v>386</v>
      </c>
      <c r="Z96">
        <v>15881</v>
      </c>
      <c r="AA96">
        <v>34</v>
      </c>
      <c r="AB96">
        <v>2716</v>
      </c>
      <c r="AC96">
        <v>689</v>
      </c>
      <c r="AD96">
        <v>178</v>
      </c>
      <c r="AE96">
        <v>66.5</v>
      </c>
      <c r="AF96">
        <v>0.4</v>
      </c>
      <c r="AG96">
        <v>25</v>
      </c>
      <c r="AH96">
        <v>30</v>
      </c>
      <c r="AI96">
        <v>200.78</v>
      </c>
      <c r="AJ96">
        <v>45</v>
      </c>
      <c r="AK96">
        <v>4.4617777777777778</v>
      </c>
      <c r="AL96">
        <v>22369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 t="s">
        <v>97</v>
      </c>
      <c r="AT96" t="s">
        <v>143</v>
      </c>
    </row>
    <row r="97" spans="1:46" x14ac:dyDescent="0.25">
      <c r="A97">
        <v>16</v>
      </c>
      <c r="B97" t="s">
        <v>5</v>
      </c>
      <c r="C97">
        <v>49</v>
      </c>
      <c r="D97">
        <v>62</v>
      </c>
      <c r="E97">
        <v>-13</v>
      </c>
      <c r="F97">
        <v>7</v>
      </c>
      <c r="G97">
        <v>62</v>
      </c>
      <c r="H97">
        <v>2</v>
      </c>
      <c r="I97">
        <v>48.6</v>
      </c>
      <c r="J97">
        <v>63.8</v>
      </c>
      <c r="K97">
        <v>0.39999999999999858</v>
      </c>
      <c r="L97">
        <v>413</v>
      </c>
      <c r="M97">
        <v>156</v>
      </c>
      <c r="N97">
        <v>4</v>
      </c>
      <c r="O97">
        <v>7</v>
      </c>
      <c r="P97">
        <v>44</v>
      </c>
      <c r="Q97">
        <v>5</v>
      </c>
      <c r="R97">
        <v>3</v>
      </c>
      <c r="S97">
        <v>66</v>
      </c>
      <c r="T97">
        <v>3</v>
      </c>
      <c r="U97">
        <v>6</v>
      </c>
      <c r="V97">
        <v>127</v>
      </c>
      <c r="W97">
        <v>789</v>
      </c>
      <c r="X97">
        <v>696</v>
      </c>
      <c r="Y97">
        <v>387</v>
      </c>
      <c r="Z97">
        <v>12451</v>
      </c>
      <c r="AA97">
        <v>38</v>
      </c>
      <c r="AB97">
        <v>2300</v>
      </c>
      <c r="AC97">
        <v>737</v>
      </c>
      <c r="AD97">
        <v>190</v>
      </c>
      <c r="AE97">
        <v>119.8</v>
      </c>
      <c r="AF97">
        <v>55.48</v>
      </c>
      <c r="AG97">
        <v>10</v>
      </c>
      <c r="AH97">
        <v>17</v>
      </c>
      <c r="AI97">
        <v>303.60000000000002</v>
      </c>
      <c r="AJ97">
        <v>38</v>
      </c>
      <c r="AK97">
        <v>7.9894736842105267</v>
      </c>
      <c r="AL97">
        <v>44155</v>
      </c>
      <c r="AM97">
        <v>0.08</v>
      </c>
      <c r="AN97">
        <v>0</v>
      </c>
      <c r="AO97">
        <v>0</v>
      </c>
      <c r="AP97">
        <v>0</v>
      </c>
      <c r="AQ97">
        <v>0</v>
      </c>
      <c r="AR97">
        <v>0</v>
      </c>
      <c r="AS97" t="s">
        <v>97</v>
      </c>
      <c r="AT97" t="s">
        <v>143</v>
      </c>
    </row>
    <row r="98" spans="1:46" x14ac:dyDescent="0.25">
      <c r="A98">
        <v>17</v>
      </c>
      <c r="B98" t="s">
        <v>8</v>
      </c>
      <c r="C98">
        <v>41</v>
      </c>
      <c r="D98">
        <v>67</v>
      </c>
      <c r="E98">
        <v>-26</v>
      </c>
      <c r="F98">
        <v>7</v>
      </c>
      <c r="G98">
        <v>68</v>
      </c>
      <c r="H98">
        <v>1</v>
      </c>
      <c r="I98">
        <v>44.3</v>
      </c>
      <c r="J98">
        <v>67.8</v>
      </c>
      <c r="K98">
        <v>-3.2999999999999972</v>
      </c>
      <c r="L98">
        <v>453</v>
      </c>
      <c r="M98">
        <v>147</v>
      </c>
      <c r="N98">
        <v>1</v>
      </c>
      <c r="O98">
        <v>3</v>
      </c>
      <c r="P98">
        <v>37</v>
      </c>
      <c r="Q98">
        <v>4</v>
      </c>
      <c r="R98">
        <v>1</v>
      </c>
      <c r="S98">
        <v>62</v>
      </c>
      <c r="T98">
        <v>1</v>
      </c>
      <c r="U98">
        <v>6</v>
      </c>
      <c r="V98">
        <v>115</v>
      </c>
      <c r="W98">
        <v>928</v>
      </c>
      <c r="X98">
        <v>523</v>
      </c>
      <c r="Y98">
        <v>451</v>
      </c>
      <c r="Z98">
        <v>11652</v>
      </c>
      <c r="AA98">
        <v>17</v>
      </c>
      <c r="AB98">
        <v>2025</v>
      </c>
      <c r="AC98">
        <v>798</v>
      </c>
      <c r="AD98">
        <v>200</v>
      </c>
      <c r="AE98">
        <v>159.5</v>
      </c>
      <c r="AF98">
        <v>3</v>
      </c>
      <c r="AG98">
        <v>22</v>
      </c>
      <c r="AH98">
        <v>22</v>
      </c>
      <c r="AI98">
        <v>231.7</v>
      </c>
      <c r="AJ98">
        <v>38</v>
      </c>
      <c r="AK98">
        <v>6.0973684210526313</v>
      </c>
      <c r="AL98">
        <v>28505</v>
      </c>
      <c r="AM98">
        <v>0.09</v>
      </c>
      <c r="AN98">
        <v>0</v>
      </c>
      <c r="AO98">
        <v>1</v>
      </c>
      <c r="AP98">
        <v>0</v>
      </c>
      <c r="AQ98">
        <v>0</v>
      </c>
      <c r="AR98">
        <v>0</v>
      </c>
      <c r="AS98" t="s">
        <v>97</v>
      </c>
      <c r="AT98" t="s">
        <v>143</v>
      </c>
    </row>
    <row r="99" spans="1:46" x14ac:dyDescent="0.25">
      <c r="A99">
        <v>18</v>
      </c>
      <c r="B99" t="s">
        <v>31</v>
      </c>
      <c r="C99">
        <v>40</v>
      </c>
      <c r="D99">
        <v>65</v>
      </c>
      <c r="E99">
        <v>-25</v>
      </c>
      <c r="F99">
        <v>5</v>
      </c>
      <c r="G99">
        <v>74</v>
      </c>
      <c r="H99">
        <v>3</v>
      </c>
      <c r="I99">
        <v>44.8</v>
      </c>
      <c r="J99">
        <v>62.3</v>
      </c>
      <c r="K99">
        <v>-4.7999999999999972</v>
      </c>
      <c r="L99">
        <v>385</v>
      </c>
      <c r="M99">
        <v>117</v>
      </c>
      <c r="N99">
        <v>4</v>
      </c>
      <c r="O99">
        <v>5</v>
      </c>
      <c r="P99">
        <v>36</v>
      </c>
      <c r="Q99">
        <v>4</v>
      </c>
      <c r="R99">
        <v>2</v>
      </c>
      <c r="S99">
        <v>67</v>
      </c>
      <c r="T99">
        <v>0</v>
      </c>
      <c r="U99">
        <v>6</v>
      </c>
      <c r="V99">
        <v>126</v>
      </c>
      <c r="W99">
        <v>1008</v>
      </c>
      <c r="X99">
        <v>507</v>
      </c>
      <c r="Y99">
        <v>369</v>
      </c>
      <c r="Z99">
        <v>12042</v>
      </c>
      <c r="AA99">
        <v>28</v>
      </c>
      <c r="AB99">
        <v>2097</v>
      </c>
      <c r="AC99">
        <v>646</v>
      </c>
      <c r="AD99">
        <v>194</v>
      </c>
      <c r="AE99">
        <v>54.91</v>
      </c>
      <c r="AF99">
        <v>34.630000000000003</v>
      </c>
      <c r="AG99">
        <v>13</v>
      </c>
      <c r="AH99">
        <v>12</v>
      </c>
      <c r="AI99">
        <v>272.18</v>
      </c>
      <c r="AJ99">
        <v>39</v>
      </c>
      <c r="AK99">
        <v>6.9789743589743596</v>
      </c>
      <c r="AL99">
        <v>7745</v>
      </c>
      <c r="AM99">
        <v>0.09</v>
      </c>
      <c r="AN99">
        <v>0</v>
      </c>
      <c r="AO99">
        <v>0</v>
      </c>
      <c r="AP99">
        <v>0</v>
      </c>
      <c r="AQ99">
        <v>1</v>
      </c>
      <c r="AR99">
        <v>0</v>
      </c>
      <c r="AS99" t="s">
        <v>97</v>
      </c>
      <c r="AT99" t="s">
        <v>143</v>
      </c>
    </row>
    <row r="100" spans="1:46" x14ac:dyDescent="0.25">
      <c r="A100">
        <v>19</v>
      </c>
      <c r="B100" t="s">
        <v>18</v>
      </c>
      <c r="C100">
        <v>36</v>
      </c>
      <c r="D100">
        <v>64</v>
      </c>
      <c r="E100">
        <v>-28</v>
      </c>
      <c r="F100">
        <v>9</v>
      </c>
      <c r="G100">
        <v>76</v>
      </c>
      <c r="H100">
        <v>3</v>
      </c>
      <c r="I100">
        <v>48.9</v>
      </c>
      <c r="J100">
        <v>58.1</v>
      </c>
      <c r="K100">
        <v>-12.899999999999999</v>
      </c>
      <c r="L100">
        <v>416</v>
      </c>
      <c r="M100">
        <v>112</v>
      </c>
      <c r="N100">
        <v>7</v>
      </c>
      <c r="O100">
        <v>2</v>
      </c>
      <c r="P100">
        <v>36</v>
      </c>
      <c r="Q100">
        <v>0</v>
      </c>
      <c r="R100">
        <v>3</v>
      </c>
      <c r="S100">
        <v>68</v>
      </c>
      <c r="T100">
        <v>3</v>
      </c>
      <c r="U100">
        <v>9</v>
      </c>
      <c r="V100">
        <v>116</v>
      </c>
      <c r="W100">
        <v>869</v>
      </c>
      <c r="X100">
        <v>657</v>
      </c>
      <c r="Y100">
        <v>481</v>
      </c>
      <c r="Z100">
        <v>11230</v>
      </c>
      <c r="AA100">
        <v>11</v>
      </c>
      <c r="AB100">
        <v>2206</v>
      </c>
      <c r="AC100">
        <v>684</v>
      </c>
      <c r="AD100">
        <v>167</v>
      </c>
      <c r="AE100">
        <v>48.5</v>
      </c>
      <c r="AF100">
        <v>25.4</v>
      </c>
      <c r="AG100">
        <v>21</v>
      </c>
      <c r="AH100">
        <v>22</v>
      </c>
      <c r="AI100">
        <v>199.6</v>
      </c>
      <c r="AJ100">
        <v>43</v>
      </c>
      <c r="AK100">
        <v>4.6418604651162791</v>
      </c>
      <c r="AL100">
        <v>15353</v>
      </c>
      <c r="AM100">
        <v>0.19</v>
      </c>
      <c r="AN100">
        <v>0</v>
      </c>
      <c r="AO100">
        <v>0</v>
      </c>
      <c r="AP100">
        <v>0</v>
      </c>
      <c r="AQ100">
        <v>1</v>
      </c>
      <c r="AR100">
        <v>0</v>
      </c>
      <c r="AS100" t="s">
        <v>97</v>
      </c>
      <c r="AT100" t="s">
        <v>143</v>
      </c>
    </row>
    <row r="101" spans="1:46" x14ac:dyDescent="0.25">
      <c r="A101">
        <v>20</v>
      </c>
      <c r="B101" t="s">
        <v>19</v>
      </c>
      <c r="C101">
        <v>26</v>
      </c>
      <c r="D101">
        <v>75</v>
      </c>
      <c r="E101">
        <v>-49</v>
      </c>
      <c r="F101">
        <v>5</v>
      </c>
      <c r="G101">
        <v>68</v>
      </c>
      <c r="H101">
        <v>3</v>
      </c>
      <c r="I101">
        <v>37</v>
      </c>
      <c r="J101">
        <v>66.5</v>
      </c>
      <c r="K101">
        <v>-11</v>
      </c>
      <c r="L101">
        <v>407</v>
      </c>
      <c r="M101">
        <v>126</v>
      </c>
      <c r="N101">
        <v>2</v>
      </c>
      <c r="O101">
        <v>1</v>
      </c>
      <c r="P101">
        <v>24</v>
      </c>
      <c r="Q101">
        <v>2</v>
      </c>
      <c r="R101">
        <v>0</v>
      </c>
      <c r="S101">
        <v>50</v>
      </c>
      <c r="T101">
        <v>3</v>
      </c>
      <c r="U101">
        <v>7</v>
      </c>
      <c r="V101">
        <v>135</v>
      </c>
      <c r="W101">
        <v>959</v>
      </c>
      <c r="X101">
        <v>628</v>
      </c>
      <c r="Y101">
        <v>363</v>
      </c>
      <c r="Z101">
        <v>14965</v>
      </c>
      <c r="AA101">
        <v>47</v>
      </c>
      <c r="AB101">
        <v>3005</v>
      </c>
      <c r="AC101">
        <v>473</v>
      </c>
      <c r="AD101">
        <v>162</v>
      </c>
      <c r="AE101">
        <v>8.82</v>
      </c>
      <c r="AF101">
        <v>2.2000000000000002</v>
      </c>
      <c r="AG101">
        <v>23</v>
      </c>
      <c r="AH101">
        <v>28</v>
      </c>
      <c r="AI101">
        <v>145.33000000000001</v>
      </c>
      <c r="AJ101">
        <v>38</v>
      </c>
      <c r="AK101">
        <v>3.8244736842105267</v>
      </c>
      <c r="AL101">
        <v>19913</v>
      </c>
      <c r="AM101">
        <v>0.43</v>
      </c>
      <c r="AN101">
        <v>0</v>
      </c>
      <c r="AO101">
        <v>1</v>
      </c>
      <c r="AP101">
        <v>0</v>
      </c>
      <c r="AQ101">
        <v>1</v>
      </c>
      <c r="AR101">
        <v>0</v>
      </c>
      <c r="AS101" t="s">
        <v>97</v>
      </c>
      <c r="AT101" t="s">
        <v>143</v>
      </c>
    </row>
    <row r="102" spans="1:46" x14ac:dyDescent="0.25">
      <c r="A102">
        <v>1</v>
      </c>
      <c r="B102" t="s">
        <v>25</v>
      </c>
      <c r="C102">
        <v>83</v>
      </c>
      <c r="D102">
        <v>32</v>
      </c>
      <c r="E102">
        <v>51</v>
      </c>
      <c r="F102">
        <v>19</v>
      </c>
      <c r="G102">
        <v>46</v>
      </c>
      <c r="H102">
        <v>2</v>
      </c>
      <c r="I102">
        <v>68.2</v>
      </c>
      <c r="J102">
        <v>30.2</v>
      </c>
      <c r="K102">
        <v>14.799999999999997</v>
      </c>
      <c r="L102">
        <v>590</v>
      </c>
      <c r="M102">
        <v>211</v>
      </c>
      <c r="N102">
        <v>5</v>
      </c>
      <c r="O102">
        <v>10</v>
      </c>
      <c r="P102">
        <v>73</v>
      </c>
      <c r="Q102">
        <v>10</v>
      </c>
      <c r="R102">
        <v>3</v>
      </c>
      <c r="S102">
        <v>57</v>
      </c>
      <c r="T102">
        <v>1</v>
      </c>
      <c r="U102">
        <v>10</v>
      </c>
      <c r="V102">
        <v>67</v>
      </c>
      <c r="W102">
        <v>453</v>
      </c>
      <c r="X102">
        <v>498</v>
      </c>
      <c r="Y102">
        <v>361</v>
      </c>
      <c r="Z102">
        <v>23819</v>
      </c>
      <c r="AA102">
        <v>38</v>
      </c>
      <c r="AB102">
        <v>4275</v>
      </c>
      <c r="AC102">
        <v>632</v>
      </c>
      <c r="AD102">
        <v>247</v>
      </c>
      <c r="AE102">
        <v>172.3</v>
      </c>
      <c r="AF102">
        <v>76.650000000000006</v>
      </c>
      <c r="AG102">
        <v>28</v>
      </c>
      <c r="AH102">
        <v>27</v>
      </c>
      <c r="AI102">
        <v>1040</v>
      </c>
      <c r="AJ102">
        <v>36</v>
      </c>
      <c r="AK102">
        <v>28.888888888888889</v>
      </c>
      <c r="AL102">
        <v>526</v>
      </c>
      <c r="AM102">
        <v>-0.01</v>
      </c>
      <c r="AN102">
        <v>1</v>
      </c>
      <c r="AO102">
        <v>0</v>
      </c>
      <c r="AP102">
        <v>1</v>
      </c>
      <c r="AQ102">
        <v>0</v>
      </c>
      <c r="AR102">
        <v>1</v>
      </c>
      <c r="AS102" t="s">
        <v>98</v>
      </c>
      <c r="AT102" t="s">
        <v>144</v>
      </c>
    </row>
    <row r="103" spans="1:46" x14ac:dyDescent="0.25">
      <c r="A103">
        <v>2</v>
      </c>
      <c r="B103" t="s">
        <v>4</v>
      </c>
      <c r="C103">
        <v>73</v>
      </c>
      <c r="D103">
        <v>44</v>
      </c>
      <c r="E103">
        <v>29</v>
      </c>
      <c r="F103">
        <v>13</v>
      </c>
      <c r="G103">
        <v>64</v>
      </c>
      <c r="H103">
        <v>1</v>
      </c>
      <c r="I103">
        <v>60.1</v>
      </c>
      <c r="J103">
        <v>41.4</v>
      </c>
      <c r="K103">
        <v>12.899999999999999</v>
      </c>
      <c r="L103">
        <v>515</v>
      </c>
      <c r="M103">
        <v>196</v>
      </c>
      <c r="N103">
        <v>10</v>
      </c>
      <c r="O103">
        <v>13</v>
      </c>
      <c r="P103">
        <v>65</v>
      </c>
      <c r="Q103">
        <v>8</v>
      </c>
      <c r="R103">
        <v>6</v>
      </c>
      <c r="S103">
        <v>76</v>
      </c>
      <c r="T103">
        <v>2</v>
      </c>
      <c r="U103">
        <v>4</v>
      </c>
      <c r="V103">
        <v>98</v>
      </c>
      <c r="W103">
        <v>634</v>
      </c>
      <c r="X103">
        <v>551</v>
      </c>
      <c r="Y103">
        <v>452</v>
      </c>
      <c r="Z103">
        <v>18800</v>
      </c>
      <c r="AA103">
        <v>34</v>
      </c>
      <c r="AB103">
        <v>3080</v>
      </c>
      <c r="AC103">
        <v>640</v>
      </c>
      <c r="AD103">
        <v>197</v>
      </c>
      <c r="AE103">
        <v>140</v>
      </c>
      <c r="AF103">
        <v>30.7</v>
      </c>
      <c r="AG103">
        <v>17</v>
      </c>
      <c r="AH103">
        <v>17</v>
      </c>
      <c r="AI103">
        <v>770.5</v>
      </c>
      <c r="AJ103">
        <v>39</v>
      </c>
      <c r="AK103">
        <v>19.756410256410255</v>
      </c>
      <c r="AL103">
        <v>526</v>
      </c>
      <c r="AM103">
        <v>-0.12</v>
      </c>
      <c r="AN103">
        <v>1</v>
      </c>
      <c r="AO103">
        <v>0</v>
      </c>
      <c r="AP103">
        <v>1</v>
      </c>
      <c r="AQ103">
        <v>0</v>
      </c>
      <c r="AR103">
        <v>1</v>
      </c>
      <c r="AS103" t="s">
        <v>98</v>
      </c>
      <c r="AT103" t="s">
        <v>144</v>
      </c>
    </row>
    <row r="104" spans="1:46" x14ac:dyDescent="0.25">
      <c r="A104">
        <v>3</v>
      </c>
      <c r="B104" t="s">
        <v>1</v>
      </c>
      <c r="C104">
        <v>68</v>
      </c>
      <c r="D104">
        <v>42</v>
      </c>
      <c r="E104">
        <v>26</v>
      </c>
      <c r="F104">
        <v>12</v>
      </c>
      <c r="G104">
        <v>40</v>
      </c>
      <c r="H104">
        <v>0</v>
      </c>
      <c r="I104">
        <v>67.5</v>
      </c>
      <c r="J104">
        <v>43</v>
      </c>
      <c r="K104">
        <v>0.5</v>
      </c>
      <c r="L104">
        <v>602</v>
      </c>
      <c r="M104">
        <v>204</v>
      </c>
      <c r="N104">
        <v>6</v>
      </c>
      <c r="O104">
        <v>15</v>
      </c>
      <c r="P104">
        <v>62</v>
      </c>
      <c r="Q104">
        <v>6</v>
      </c>
      <c r="R104">
        <v>5</v>
      </c>
      <c r="S104">
        <v>65</v>
      </c>
      <c r="T104">
        <v>0</v>
      </c>
      <c r="U104">
        <v>8</v>
      </c>
      <c r="V104">
        <v>97</v>
      </c>
      <c r="W104">
        <v>563</v>
      </c>
      <c r="X104">
        <v>526</v>
      </c>
      <c r="Y104">
        <v>396</v>
      </c>
      <c r="Z104">
        <v>21929</v>
      </c>
      <c r="AA104">
        <v>44</v>
      </c>
      <c r="AB104">
        <v>3472</v>
      </c>
      <c r="AC104">
        <v>862</v>
      </c>
      <c r="AD104">
        <v>257</v>
      </c>
      <c r="AE104">
        <v>82.65</v>
      </c>
      <c r="AF104">
        <v>17.2</v>
      </c>
      <c r="AG104">
        <v>16</v>
      </c>
      <c r="AH104">
        <v>13</v>
      </c>
      <c r="AI104">
        <v>969.65</v>
      </c>
      <c r="AJ104">
        <v>43</v>
      </c>
      <c r="AK104">
        <v>22.55</v>
      </c>
      <c r="AL104">
        <v>837</v>
      </c>
      <c r="AM104">
        <v>-0.05</v>
      </c>
      <c r="AN104">
        <v>1</v>
      </c>
      <c r="AO104">
        <v>0</v>
      </c>
      <c r="AP104">
        <v>1</v>
      </c>
      <c r="AQ104">
        <v>0</v>
      </c>
      <c r="AR104">
        <v>1</v>
      </c>
      <c r="AS104" t="s">
        <v>98</v>
      </c>
      <c r="AT104" t="s">
        <v>144</v>
      </c>
    </row>
    <row r="105" spans="1:46" x14ac:dyDescent="0.25">
      <c r="A105">
        <v>4</v>
      </c>
      <c r="B105" t="s">
        <v>2</v>
      </c>
      <c r="C105">
        <v>58</v>
      </c>
      <c r="D105">
        <v>36</v>
      </c>
      <c r="E105">
        <v>22</v>
      </c>
      <c r="F105">
        <v>18</v>
      </c>
      <c r="G105">
        <v>50</v>
      </c>
      <c r="H105">
        <v>3</v>
      </c>
      <c r="I105">
        <v>62.4</v>
      </c>
      <c r="J105">
        <v>30.3</v>
      </c>
      <c r="K105">
        <v>-4.3999999999999986</v>
      </c>
      <c r="L105">
        <v>546</v>
      </c>
      <c r="M105">
        <v>193</v>
      </c>
      <c r="N105">
        <v>8</v>
      </c>
      <c r="O105">
        <v>9</v>
      </c>
      <c r="P105">
        <v>55</v>
      </c>
      <c r="Q105">
        <v>3</v>
      </c>
      <c r="R105">
        <v>2</v>
      </c>
      <c r="S105">
        <v>79</v>
      </c>
      <c r="T105">
        <v>1</v>
      </c>
      <c r="U105">
        <v>4</v>
      </c>
      <c r="V105">
        <v>71</v>
      </c>
      <c r="W105">
        <v>661</v>
      </c>
      <c r="X105">
        <v>612</v>
      </c>
      <c r="Y105">
        <v>433</v>
      </c>
      <c r="Z105">
        <v>21969</v>
      </c>
      <c r="AA105">
        <v>29</v>
      </c>
      <c r="AB105">
        <v>3889</v>
      </c>
      <c r="AC105">
        <v>749</v>
      </c>
      <c r="AD105">
        <v>226</v>
      </c>
      <c r="AE105">
        <v>247.2</v>
      </c>
      <c r="AF105">
        <v>57.4</v>
      </c>
      <c r="AG105">
        <v>31</v>
      </c>
      <c r="AH105">
        <v>26</v>
      </c>
      <c r="AI105">
        <v>889.2</v>
      </c>
      <c r="AJ105">
        <v>39</v>
      </c>
      <c r="AK105">
        <v>22.8</v>
      </c>
      <c r="AL105">
        <v>526</v>
      </c>
      <c r="AM105">
        <v>0</v>
      </c>
      <c r="AN105">
        <v>1</v>
      </c>
      <c r="AO105">
        <v>0</v>
      </c>
      <c r="AP105">
        <v>1</v>
      </c>
      <c r="AQ105">
        <v>0</v>
      </c>
      <c r="AR105">
        <v>1</v>
      </c>
      <c r="AS105" t="s">
        <v>98</v>
      </c>
      <c r="AT105" t="s">
        <v>144</v>
      </c>
    </row>
    <row r="106" spans="1:46" x14ac:dyDescent="0.25">
      <c r="A106">
        <v>5</v>
      </c>
      <c r="B106" t="s">
        <v>7</v>
      </c>
      <c r="C106">
        <v>68</v>
      </c>
      <c r="D106">
        <v>50</v>
      </c>
      <c r="E106">
        <v>18</v>
      </c>
      <c r="F106">
        <v>11</v>
      </c>
      <c r="G106">
        <v>61</v>
      </c>
      <c r="H106">
        <v>0</v>
      </c>
      <c r="I106">
        <v>55.8</v>
      </c>
      <c r="J106">
        <v>46</v>
      </c>
      <c r="K106">
        <v>12.200000000000003</v>
      </c>
      <c r="L106">
        <v>473</v>
      </c>
      <c r="M106">
        <v>170</v>
      </c>
      <c r="N106">
        <v>10</v>
      </c>
      <c r="O106">
        <v>7</v>
      </c>
      <c r="P106">
        <v>56</v>
      </c>
      <c r="Q106">
        <v>3</v>
      </c>
      <c r="R106">
        <v>4</v>
      </c>
      <c r="S106">
        <v>71</v>
      </c>
      <c r="T106">
        <v>2</v>
      </c>
      <c r="U106">
        <v>4</v>
      </c>
      <c r="V106">
        <v>88</v>
      </c>
      <c r="W106">
        <v>685</v>
      </c>
      <c r="X106">
        <v>681</v>
      </c>
      <c r="Y106">
        <v>413</v>
      </c>
      <c r="Z106">
        <v>17014</v>
      </c>
      <c r="AA106">
        <v>35</v>
      </c>
      <c r="AB106">
        <v>2955</v>
      </c>
      <c r="AC106">
        <v>649</v>
      </c>
      <c r="AD106">
        <v>212</v>
      </c>
      <c r="AE106">
        <v>59.4</v>
      </c>
      <c r="AF106">
        <v>53.77</v>
      </c>
      <c r="AG106">
        <v>19</v>
      </c>
      <c r="AH106">
        <v>18</v>
      </c>
      <c r="AI106">
        <v>510.7</v>
      </c>
      <c r="AJ106">
        <v>40</v>
      </c>
      <c r="AK106">
        <v>12.7675</v>
      </c>
      <c r="AL106">
        <v>421</v>
      </c>
      <c r="AM106">
        <v>-0.1</v>
      </c>
      <c r="AN106">
        <v>1</v>
      </c>
      <c r="AO106">
        <v>0</v>
      </c>
      <c r="AP106">
        <v>0</v>
      </c>
      <c r="AQ106">
        <v>0</v>
      </c>
      <c r="AR106">
        <v>0</v>
      </c>
      <c r="AS106" t="s">
        <v>98</v>
      </c>
      <c r="AT106" t="s">
        <v>144</v>
      </c>
    </row>
    <row r="107" spans="1:46" x14ac:dyDescent="0.25">
      <c r="A107">
        <v>6</v>
      </c>
      <c r="B107" t="s">
        <v>5</v>
      </c>
      <c r="C107">
        <v>62</v>
      </c>
      <c r="D107">
        <v>47</v>
      </c>
      <c r="E107">
        <v>15</v>
      </c>
      <c r="F107">
        <v>11</v>
      </c>
      <c r="G107">
        <v>48</v>
      </c>
      <c r="H107">
        <v>3</v>
      </c>
      <c r="I107">
        <v>55.4</v>
      </c>
      <c r="J107">
        <v>48.7</v>
      </c>
      <c r="K107">
        <v>6.6000000000000014</v>
      </c>
      <c r="L107">
        <v>464</v>
      </c>
      <c r="M107">
        <v>158</v>
      </c>
      <c r="N107">
        <v>2</v>
      </c>
      <c r="O107">
        <v>15</v>
      </c>
      <c r="P107">
        <v>59</v>
      </c>
      <c r="Q107">
        <v>3</v>
      </c>
      <c r="R107">
        <v>6</v>
      </c>
      <c r="S107">
        <v>74</v>
      </c>
      <c r="T107">
        <v>4</v>
      </c>
      <c r="U107">
        <v>5</v>
      </c>
      <c r="V107">
        <v>103</v>
      </c>
      <c r="W107">
        <v>779</v>
      </c>
      <c r="X107">
        <v>514</v>
      </c>
      <c r="Y107">
        <v>375</v>
      </c>
      <c r="Z107">
        <v>12725</v>
      </c>
      <c r="AA107">
        <v>15</v>
      </c>
      <c r="AB107">
        <v>2230</v>
      </c>
      <c r="AC107">
        <v>775</v>
      </c>
      <c r="AD107">
        <v>167</v>
      </c>
      <c r="AE107">
        <v>54.7</v>
      </c>
      <c r="AF107">
        <v>45.41</v>
      </c>
      <c r="AG107">
        <v>16</v>
      </c>
      <c r="AH107">
        <v>17</v>
      </c>
      <c r="AI107">
        <v>334.9</v>
      </c>
      <c r="AJ107">
        <v>39</v>
      </c>
      <c r="AK107">
        <v>8.5871794871794869</v>
      </c>
      <c r="AL107">
        <v>632</v>
      </c>
      <c r="AM107">
        <v>0.05</v>
      </c>
      <c r="AN107">
        <v>0</v>
      </c>
      <c r="AO107">
        <v>0</v>
      </c>
      <c r="AP107">
        <v>0</v>
      </c>
      <c r="AQ107">
        <v>0</v>
      </c>
      <c r="AR107">
        <v>0</v>
      </c>
      <c r="AS107" t="s">
        <v>98</v>
      </c>
      <c r="AT107" t="s">
        <v>144</v>
      </c>
    </row>
    <row r="108" spans="1:46" x14ac:dyDescent="0.25">
      <c r="A108">
        <v>7</v>
      </c>
      <c r="B108" t="s">
        <v>3</v>
      </c>
      <c r="C108">
        <v>68</v>
      </c>
      <c r="D108">
        <v>45</v>
      </c>
      <c r="E108">
        <v>23</v>
      </c>
      <c r="F108">
        <v>12</v>
      </c>
      <c r="G108">
        <v>53</v>
      </c>
      <c r="H108">
        <v>2</v>
      </c>
      <c r="I108">
        <v>53.1</v>
      </c>
      <c r="J108">
        <v>49.1</v>
      </c>
      <c r="K108">
        <v>14.899999999999999</v>
      </c>
      <c r="L108">
        <v>438</v>
      </c>
      <c r="M108">
        <v>167</v>
      </c>
      <c r="N108">
        <v>5</v>
      </c>
      <c r="O108">
        <v>10</v>
      </c>
      <c r="P108">
        <v>58</v>
      </c>
      <c r="Q108">
        <v>10</v>
      </c>
      <c r="R108">
        <v>5</v>
      </c>
      <c r="S108">
        <v>45</v>
      </c>
      <c r="T108">
        <v>3</v>
      </c>
      <c r="U108">
        <v>10</v>
      </c>
      <c r="V108">
        <v>113</v>
      </c>
      <c r="W108">
        <v>795</v>
      </c>
      <c r="X108">
        <v>636</v>
      </c>
      <c r="Y108">
        <v>440</v>
      </c>
      <c r="Z108">
        <v>16508</v>
      </c>
      <c r="AA108">
        <v>28</v>
      </c>
      <c r="AB108">
        <v>2850</v>
      </c>
      <c r="AC108">
        <v>526</v>
      </c>
      <c r="AD108">
        <v>168</v>
      </c>
      <c r="AE108">
        <v>110.5</v>
      </c>
      <c r="AF108">
        <v>13.3</v>
      </c>
      <c r="AG108">
        <v>15</v>
      </c>
      <c r="AH108">
        <v>11</v>
      </c>
      <c r="AI108">
        <v>703.5</v>
      </c>
      <c r="AJ108">
        <v>41</v>
      </c>
      <c r="AK108">
        <v>17.158536585365855</v>
      </c>
      <c r="AL108">
        <v>632</v>
      </c>
      <c r="AM108">
        <v>7.0000000000000007E-2</v>
      </c>
      <c r="AN108">
        <v>1</v>
      </c>
      <c r="AO108">
        <v>0</v>
      </c>
      <c r="AP108">
        <v>0</v>
      </c>
      <c r="AQ108">
        <v>0</v>
      </c>
      <c r="AR108">
        <v>1</v>
      </c>
      <c r="AS108" t="s">
        <v>98</v>
      </c>
      <c r="AT108" t="s">
        <v>144</v>
      </c>
    </row>
    <row r="109" spans="1:46" x14ac:dyDescent="0.25">
      <c r="A109">
        <v>8</v>
      </c>
      <c r="B109" t="s">
        <v>6</v>
      </c>
      <c r="C109">
        <v>55</v>
      </c>
      <c r="D109">
        <v>39</v>
      </c>
      <c r="E109">
        <v>16</v>
      </c>
      <c r="F109">
        <v>12</v>
      </c>
      <c r="G109">
        <v>47</v>
      </c>
      <c r="H109">
        <v>5</v>
      </c>
      <c r="I109">
        <v>51.8</v>
      </c>
      <c r="J109">
        <v>43</v>
      </c>
      <c r="K109">
        <v>3.2000000000000028</v>
      </c>
      <c r="L109">
        <v>453</v>
      </c>
      <c r="M109">
        <v>140</v>
      </c>
      <c r="N109">
        <v>6</v>
      </c>
      <c r="O109">
        <v>7</v>
      </c>
      <c r="P109">
        <v>52</v>
      </c>
      <c r="Q109">
        <v>3</v>
      </c>
      <c r="R109">
        <v>1</v>
      </c>
      <c r="S109">
        <v>61</v>
      </c>
      <c r="T109">
        <v>4</v>
      </c>
      <c r="U109">
        <v>3</v>
      </c>
      <c r="V109">
        <v>93</v>
      </c>
      <c r="W109">
        <v>643</v>
      </c>
      <c r="X109">
        <v>456</v>
      </c>
      <c r="Y109">
        <v>346</v>
      </c>
      <c r="Z109">
        <v>18041</v>
      </c>
      <c r="AA109">
        <v>34</v>
      </c>
      <c r="AB109">
        <v>3274</v>
      </c>
      <c r="AC109">
        <v>751</v>
      </c>
      <c r="AD109">
        <v>207</v>
      </c>
      <c r="AE109">
        <v>86</v>
      </c>
      <c r="AF109">
        <v>19.149999999999999</v>
      </c>
      <c r="AG109">
        <v>16</v>
      </c>
      <c r="AH109">
        <v>16</v>
      </c>
      <c r="AI109">
        <v>619.25</v>
      </c>
      <c r="AJ109">
        <v>42</v>
      </c>
      <c r="AK109">
        <v>14.744047619047619</v>
      </c>
      <c r="AL109">
        <v>632</v>
      </c>
      <c r="AM109">
        <v>-0.11</v>
      </c>
      <c r="AN109">
        <v>1</v>
      </c>
      <c r="AO109">
        <v>0</v>
      </c>
      <c r="AP109">
        <v>0</v>
      </c>
      <c r="AQ109">
        <v>0</v>
      </c>
      <c r="AR109">
        <v>1</v>
      </c>
      <c r="AS109" t="s">
        <v>98</v>
      </c>
      <c r="AT109" t="s">
        <v>144</v>
      </c>
    </row>
    <row r="110" spans="1:46" x14ac:dyDescent="0.25">
      <c r="A110">
        <v>9</v>
      </c>
      <c r="B110" t="s">
        <v>13</v>
      </c>
      <c r="C110">
        <v>62</v>
      </c>
      <c r="D110">
        <v>54</v>
      </c>
      <c r="E110">
        <v>8</v>
      </c>
      <c r="F110">
        <v>12</v>
      </c>
      <c r="G110">
        <v>61</v>
      </c>
      <c r="H110">
        <v>1</v>
      </c>
      <c r="I110">
        <v>55.6</v>
      </c>
      <c r="J110">
        <v>57.9</v>
      </c>
      <c r="K110">
        <v>6.3999999999999986</v>
      </c>
      <c r="L110">
        <v>518</v>
      </c>
      <c r="M110">
        <v>193</v>
      </c>
      <c r="N110">
        <v>4</v>
      </c>
      <c r="O110">
        <v>9</v>
      </c>
      <c r="P110">
        <v>48</v>
      </c>
      <c r="Q110">
        <v>14</v>
      </c>
      <c r="R110">
        <v>7</v>
      </c>
      <c r="S110">
        <v>76</v>
      </c>
      <c r="T110">
        <v>2</v>
      </c>
      <c r="U110">
        <v>9</v>
      </c>
      <c r="V110">
        <v>145</v>
      </c>
      <c r="W110">
        <v>646</v>
      </c>
      <c r="X110">
        <v>740</v>
      </c>
      <c r="Y110">
        <v>432</v>
      </c>
      <c r="Z110">
        <v>16284</v>
      </c>
      <c r="AA110">
        <v>27</v>
      </c>
      <c r="AB110">
        <v>2666</v>
      </c>
      <c r="AC110">
        <v>786</v>
      </c>
      <c r="AD110">
        <v>229</v>
      </c>
      <c r="AE110">
        <v>106.8</v>
      </c>
      <c r="AF110">
        <v>0</v>
      </c>
      <c r="AG110">
        <v>16</v>
      </c>
      <c r="AH110">
        <v>17</v>
      </c>
      <c r="AI110">
        <v>238.1</v>
      </c>
      <c r="AJ110">
        <v>39</v>
      </c>
      <c r="AK110">
        <v>6.1051282051282048</v>
      </c>
      <c r="AL110">
        <v>421</v>
      </c>
      <c r="AM110">
        <v>0.06</v>
      </c>
      <c r="AN110">
        <v>0</v>
      </c>
      <c r="AO110">
        <v>1</v>
      </c>
      <c r="AP110">
        <v>0</v>
      </c>
      <c r="AQ110">
        <v>0</v>
      </c>
      <c r="AR110">
        <v>0</v>
      </c>
      <c r="AS110" t="s">
        <v>98</v>
      </c>
      <c r="AT110" t="s">
        <v>144</v>
      </c>
    </row>
    <row r="111" spans="1:46" x14ac:dyDescent="0.25">
      <c r="A111">
        <v>10</v>
      </c>
      <c r="B111" t="s">
        <v>15</v>
      </c>
      <c r="C111">
        <v>47</v>
      </c>
      <c r="D111">
        <v>48</v>
      </c>
      <c r="E111">
        <v>-1</v>
      </c>
      <c r="F111">
        <v>12</v>
      </c>
      <c r="G111">
        <v>59</v>
      </c>
      <c r="H111">
        <v>2</v>
      </c>
      <c r="I111">
        <v>45.7</v>
      </c>
      <c r="J111">
        <v>50.1</v>
      </c>
      <c r="K111">
        <v>1.2999999999999972</v>
      </c>
      <c r="L111">
        <v>395</v>
      </c>
      <c r="M111">
        <v>143</v>
      </c>
      <c r="N111">
        <v>4</v>
      </c>
      <c r="O111">
        <v>15</v>
      </c>
      <c r="P111">
        <v>44</v>
      </c>
      <c r="Q111">
        <v>3</v>
      </c>
      <c r="R111">
        <v>0</v>
      </c>
      <c r="S111">
        <v>65</v>
      </c>
      <c r="T111">
        <v>1</v>
      </c>
      <c r="U111">
        <v>4</v>
      </c>
      <c r="V111">
        <v>114</v>
      </c>
      <c r="W111">
        <v>847</v>
      </c>
      <c r="X111">
        <v>640</v>
      </c>
      <c r="Y111">
        <v>386</v>
      </c>
      <c r="Z111">
        <v>14792</v>
      </c>
      <c r="AA111">
        <v>28</v>
      </c>
      <c r="AB111">
        <v>2693</v>
      </c>
      <c r="AC111">
        <v>662</v>
      </c>
      <c r="AD111">
        <v>167</v>
      </c>
      <c r="AE111">
        <v>73.37</v>
      </c>
      <c r="AF111">
        <v>4.43</v>
      </c>
      <c r="AG111">
        <v>20</v>
      </c>
      <c r="AH111">
        <v>20</v>
      </c>
      <c r="AI111">
        <v>511.2</v>
      </c>
      <c r="AJ111">
        <v>44</v>
      </c>
      <c r="AK111">
        <v>11.618181818181817</v>
      </c>
      <c r="AL111">
        <v>368</v>
      </c>
      <c r="AM111">
        <v>-0.08</v>
      </c>
      <c r="AN111">
        <v>0</v>
      </c>
      <c r="AO111">
        <v>0</v>
      </c>
      <c r="AP111">
        <v>0</v>
      </c>
      <c r="AQ111">
        <v>0</v>
      </c>
      <c r="AR111">
        <v>0</v>
      </c>
      <c r="AS111" t="s">
        <v>98</v>
      </c>
      <c r="AT111" t="s">
        <v>144</v>
      </c>
    </row>
    <row r="112" spans="1:46" x14ac:dyDescent="0.25">
      <c r="A112">
        <v>11</v>
      </c>
      <c r="B112" t="s">
        <v>8</v>
      </c>
      <c r="C112">
        <v>55</v>
      </c>
      <c r="D112">
        <v>46</v>
      </c>
      <c r="E112">
        <v>9</v>
      </c>
      <c r="F112">
        <v>15</v>
      </c>
      <c r="G112">
        <v>63</v>
      </c>
      <c r="H112">
        <v>4</v>
      </c>
      <c r="I112">
        <v>52.5</v>
      </c>
      <c r="J112">
        <v>51.1</v>
      </c>
      <c r="K112">
        <v>2.5</v>
      </c>
      <c r="L112">
        <v>514</v>
      </c>
      <c r="M112">
        <v>178</v>
      </c>
      <c r="N112">
        <v>5</v>
      </c>
      <c r="O112">
        <v>7</v>
      </c>
      <c r="P112">
        <v>47</v>
      </c>
      <c r="Q112">
        <v>8</v>
      </c>
      <c r="R112">
        <v>4</v>
      </c>
      <c r="S112">
        <v>71</v>
      </c>
      <c r="T112">
        <v>1</v>
      </c>
      <c r="U112">
        <v>6</v>
      </c>
      <c r="V112">
        <v>133</v>
      </c>
      <c r="W112">
        <v>783</v>
      </c>
      <c r="X112">
        <v>530</v>
      </c>
      <c r="Y112">
        <v>439</v>
      </c>
      <c r="Z112">
        <v>12938</v>
      </c>
      <c r="AA112">
        <v>12</v>
      </c>
      <c r="AB112">
        <v>2308</v>
      </c>
      <c r="AC112">
        <v>779</v>
      </c>
      <c r="AD112">
        <v>213</v>
      </c>
      <c r="AE112">
        <v>101.35</v>
      </c>
      <c r="AF112">
        <v>2.77</v>
      </c>
      <c r="AG112">
        <v>12</v>
      </c>
      <c r="AH112">
        <v>15</v>
      </c>
      <c r="AI112">
        <v>430.75</v>
      </c>
      <c r="AJ112">
        <v>53</v>
      </c>
      <c r="AK112">
        <v>8.1273584905660385</v>
      </c>
      <c r="AL112">
        <v>526</v>
      </c>
      <c r="AM112">
        <v>-0.06</v>
      </c>
      <c r="AN112">
        <v>0</v>
      </c>
      <c r="AO112">
        <v>0</v>
      </c>
      <c r="AP112">
        <v>0</v>
      </c>
      <c r="AQ112">
        <v>0</v>
      </c>
      <c r="AR112">
        <v>0</v>
      </c>
      <c r="AS112" t="s">
        <v>98</v>
      </c>
      <c r="AT112" t="s">
        <v>144</v>
      </c>
    </row>
    <row r="113" spans="1:46" x14ac:dyDescent="0.25">
      <c r="A113">
        <v>12</v>
      </c>
      <c r="B113" t="s">
        <v>12</v>
      </c>
      <c r="C113">
        <v>46</v>
      </c>
      <c r="D113">
        <v>62</v>
      </c>
      <c r="E113">
        <v>-16</v>
      </c>
      <c r="F113">
        <v>7</v>
      </c>
      <c r="G113">
        <v>61</v>
      </c>
      <c r="H113">
        <v>3</v>
      </c>
      <c r="I113">
        <v>43.4</v>
      </c>
      <c r="J113">
        <v>58.3</v>
      </c>
      <c r="K113">
        <v>2.6000000000000014</v>
      </c>
      <c r="L113">
        <v>390</v>
      </c>
      <c r="M113">
        <v>130</v>
      </c>
      <c r="N113">
        <v>6</v>
      </c>
      <c r="O113">
        <v>9</v>
      </c>
      <c r="P113">
        <v>43</v>
      </c>
      <c r="Q113">
        <v>3</v>
      </c>
      <c r="R113">
        <v>3</v>
      </c>
      <c r="S113">
        <v>58</v>
      </c>
      <c r="T113">
        <v>3</v>
      </c>
      <c r="U113">
        <v>5</v>
      </c>
      <c r="V113">
        <v>128</v>
      </c>
      <c r="W113">
        <v>908</v>
      </c>
      <c r="X113">
        <v>512</v>
      </c>
      <c r="Y113">
        <v>388</v>
      </c>
      <c r="Z113">
        <v>10839</v>
      </c>
      <c r="AA113">
        <v>12</v>
      </c>
      <c r="AB113">
        <v>2088</v>
      </c>
      <c r="AC113">
        <v>652</v>
      </c>
      <c r="AD113">
        <v>161</v>
      </c>
      <c r="AE113">
        <v>39</v>
      </c>
      <c r="AF113">
        <v>0.27500000000000002</v>
      </c>
      <c r="AG113">
        <v>11</v>
      </c>
      <c r="AH113">
        <v>15</v>
      </c>
      <c r="AI113">
        <v>255.75</v>
      </c>
      <c r="AJ113">
        <v>33</v>
      </c>
      <c r="AK113">
        <v>7.75</v>
      </c>
      <c r="AL113">
        <v>526</v>
      </c>
      <c r="AM113">
        <v>0.03</v>
      </c>
      <c r="AN113">
        <v>0</v>
      </c>
      <c r="AO113">
        <v>0</v>
      </c>
      <c r="AP113">
        <v>0</v>
      </c>
      <c r="AQ113">
        <v>0</v>
      </c>
      <c r="AR113">
        <v>0</v>
      </c>
      <c r="AS113" t="s">
        <v>98</v>
      </c>
      <c r="AT113" t="s">
        <v>144</v>
      </c>
    </row>
    <row r="114" spans="1:46" x14ac:dyDescent="0.25">
      <c r="A114">
        <v>13</v>
      </c>
      <c r="B114" t="s">
        <v>16</v>
      </c>
      <c r="C114">
        <v>36</v>
      </c>
      <c r="D114">
        <v>52</v>
      </c>
      <c r="E114">
        <v>-16</v>
      </c>
      <c r="F114">
        <v>10</v>
      </c>
      <c r="G114">
        <v>53</v>
      </c>
      <c r="H114">
        <v>1</v>
      </c>
      <c r="I114">
        <v>36.5</v>
      </c>
      <c r="J114">
        <v>49.5</v>
      </c>
      <c r="K114">
        <v>-0.5</v>
      </c>
      <c r="L114">
        <v>459</v>
      </c>
      <c r="M114">
        <v>149</v>
      </c>
      <c r="N114">
        <v>4</v>
      </c>
      <c r="O114">
        <v>8</v>
      </c>
      <c r="P114">
        <v>34</v>
      </c>
      <c r="Q114">
        <v>3</v>
      </c>
      <c r="R114">
        <v>2</v>
      </c>
      <c r="S114">
        <v>37</v>
      </c>
      <c r="T114">
        <v>3</v>
      </c>
      <c r="U114">
        <v>8</v>
      </c>
      <c r="V114">
        <v>102</v>
      </c>
      <c r="W114">
        <v>727</v>
      </c>
      <c r="X114">
        <v>588</v>
      </c>
      <c r="Y114">
        <v>426</v>
      </c>
      <c r="Z114">
        <v>15548</v>
      </c>
      <c r="AA114">
        <v>20</v>
      </c>
      <c r="AB114">
        <v>2943</v>
      </c>
      <c r="AC114">
        <v>775</v>
      </c>
      <c r="AD114">
        <v>208</v>
      </c>
      <c r="AE114">
        <v>87.8</v>
      </c>
      <c r="AF114">
        <v>79.2</v>
      </c>
      <c r="AG114">
        <v>21</v>
      </c>
      <c r="AH114">
        <v>24</v>
      </c>
      <c r="AI114">
        <v>450.3</v>
      </c>
      <c r="AJ114">
        <v>38</v>
      </c>
      <c r="AK114">
        <v>11.85</v>
      </c>
      <c r="AL114">
        <v>237</v>
      </c>
      <c r="AM114">
        <v>0.11</v>
      </c>
      <c r="AN114">
        <v>0</v>
      </c>
      <c r="AO114">
        <v>0</v>
      </c>
      <c r="AP114">
        <v>0</v>
      </c>
      <c r="AQ114">
        <v>0</v>
      </c>
      <c r="AR114">
        <v>0</v>
      </c>
      <c r="AS114" t="s">
        <v>98</v>
      </c>
      <c r="AT114" t="s">
        <v>144</v>
      </c>
    </row>
    <row r="115" spans="1:46" x14ac:dyDescent="0.25">
      <c r="A115">
        <v>14</v>
      </c>
      <c r="B115" t="s">
        <v>9</v>
      </c>
      <c r="C115">
        <v>41</v>
      </c>
      <c r="D115">
        <v>66</v>
      </c>
      <c r="E115">
        <v>-25</v>
      </c>
      <c r="F115">
        <v>8</v>
      </c>
      <c r="G115">
        <v>54</v>
      </c>
      <c r="H115">
        <v>2</v>
      </c>
      <c r="I115">
        <v>34.1</v>
      </c>
      <c r="J115">
        <v>58.2</v>
      </c>
      <c r="K115">
        <v>6.8999999999999986</v>
      </c>
      <c r="L115">
        <v>345</v>
      </c>
      <c r="M115">
        <v>127</v>
      </c>
      <c r="N115">
        <v>3</v>
      </c>
      <c r="O115">
        <v>9</v>
      </c>
      <c r="P115">
        <v>36</v>
      </c>
      <c r="Q115">
        <v>5</v>
      </c>
      <c r="R115">
        <v>3</v>
      </c>
      <c r="S115">
        <v>67</v>
      </c>
      <c r="T115">
        <v>0</v>
      </c>
      <c r="U115">
        <v>4</v>
      </c>
      <c r="V115">
        <v>107</v>
      </c>
      <c r="W115">
        <v>774</v>
      </c>
      <c r="X115">
        <v>636</v>
      </c>
      <c r="Y115">
        <v>409</v>
      </c>
      <c r="Z115">
        <v>11627</v>
      </c>
      <c r="AA115">
        <v>8</v>
      </c>
      <c r="AB115">
        <v>2173</v>
      </c>
      <c r="AC115">
        <v>533</v>
      </c>
      <c r="AD115">
        <v>151</v>
      </c>
      <c r="AE115">
        <v>22.4</v>
      </c>
      <c r="AF115">
        <v>20</v>
      </c>
      <c r="AG115">
        <v>13</v>
      </c>
      <c r="AH115">
        <v>8</v>
      </c>
      <c r="AI115">
        <v>195.85</v>
      </c>
      <c r="AJ115">
        <v>36</v>
      </c>
      <c r="AK115">
        <v>5.4402777777777773</v>
      </c>
      <c r="AL115">
        <v>447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 t="s">
        <v>98</v>
      </c>
      <c r="AT115" t="s">
        <v>144</v>
      </c>
    </row>
    <row r="116" spans="1:46" x14ac:dyDescent="0.25">
      <c r="A116">
        <v>15</v>
      </c>
      <c r="B116" t="s">
        <v>11</v>
      </c>
      <c r="C116">
        <v>48</v>
      </c>
      <c r="D116">
        <v>68</v>
      </c>
      <c r="E116">
        <v>-20</v>
      </c>
      <c r="F116">
        <v>9</v>
      </c>
      <c r="G116">
        <v>52</v>
      </c>
      <c r="H116">
        <v>4</v>
      </c>
      <c r="I116">
        <v>41.2</v>
      </c>
      <c r="J116">
        <v>53.1</v>
      </c>
      <c r="K116">
        <v>6.7999999999999972</v>
      </c>
      <c r="L116">
        <v>418</v>
      </c>
      <c r="M116">
        <v>157</v>
      </c>
      <c r="N116">
        <v>5</v>
      </c>
      <c r="O116">
        <v>5</v>
      </c>
      <c r="P116">
        <v>40</v>
      </c>
      <c r="Q116">
        <v>8</v>
      </c>
      <c r="R116">
        <v>0</v>
      </c>
      <c r="S116">
        <v>76</v>
      </c>
      <c r="T116">
        <v>1</v>
      </c>
      <c r="U116">
        <v>9</v>
      </c>
      <c r="V116">
        <v>110</v>
      </c>
      <c r="W116">
        <v>681</v>
      </c>
      <c r="X116">
        <v>727</v>
      </c>
      <c r="Y116">
        <v>428</v>
      </c>
      <c r="Z116">
        <v>14928</v>
      </c>
      <c r="AA116">
        <v>16</v>
      </c>
      <c r="AB116">
        <v>2983</v>
      </c>
      <c r="AC116">
        <v>554</v>
      </c>
      <c r="AD116">
        <v>177</v>
      </c>
      <c r="AE116">
        <v>37.299999999999997</v>
      </c>
      <c r="AF116">
        <v>26.3</v>
      </c>
      <c r="AG116">
        <v>23</v>
      </c>
      <c r="AH116">
        <v>18</v>
      </c>
      <c r="AI116">
        <v>282.8</v>
      </c>
      <c r="AJ116">
        <v>39</v>
      </c>
      <c r="AK116">
        <v>7.2512820512820513</v>
      </c>
      <c r="AL116">
        <v>526</v>
      </c>
      <c r="AM116">
        <v>0.23</v>
      </c>
      <c r="AN116">
        <v>0</v>
      </c>
      <c r="AO116">
        <v>0</v>
      </c>
      <c r="AP116">
        <v>0</v>
      </c>
      <c r="AQ116">
        <v>0</v>
      </c>
      <c r="AR116">
        <v>0</v>
      </c>
      <c r="AS116" t="s">
        <v>98</v>
      </c>
      <c r="AT116" t="s">
        <v>144</v>
      </c>
    </row>
    <row r="117" spans="1:46" x14ac:dyDescent="0.25">
      <c r="A117">
        <v>16</v>
      </c>
      <c r="B117" t="s">
        <v>14</v>
      </c>
      <c r="C117">
        <v>41</v>
      </c>
      <c r="D117">
        <v>46</v>
      </c>
      <c r="E117">
        <v>-5</v>
      </c>
      <c r="F117">
        <v>12</v>
      </c>
      <c r="G117">
        <v>46</v>
      </c>
      <c r="H117">
        <v>6</v>
      </c>
      <c r="I117">
        <v>50.9</v>
      </c>
      <c r="J117">
        <v>35.299999999999997</v>
      </c>
      <c r="K117">
        <v>-9.8999999999999986</v>
      </c>
      <c r="L117">
        <v>478</v>
      </c>
      <c r="M117">
        <v>134</v>
      </c>
      <c r="N117">
        <v>6</v>
      </c>
      <c r="O117">
        <v>7</v>
      </c>
      <c r="P117">
        <v>35</v>
      </c>
      <c r="Q117">
        <v>7</v>
      </c>
      <c r="R117">
        <v>0</v>
      </c>
      <c r="S117">
        <v>52</v>
      </c>
      <c r="T117">
        <v>2</v>
      </c>
      <c r="U117">
        <v>7</v>
      </c>
      <c r="V117">
        <v>81</v>
      </c>
      <c r="W117">
        <v>604</v>
      </c>
      <c r="X117">
        <v>628</v>
      </c>
      <c r="Y117">
        <v>428</v>
      </c>
      <c r="Z117">
        <v>15772</v>
      </c>
      <c r="AA117">
        <v>17</v>
      </c>
      <c r="AB117">
        <v>2777</v>
      </c>
      <c r="AC117">
        <v>686</v>
      </c>
      <c r="AD117">
        <v>219</v>
      </c>
      <c r="AE117">
        <v>28.5</v>
      </c>
      <c r="AF117">
        <v>20.6</v>
      </c>
      <c r="AG117">
        <v>28</v>
      </c>
      <c r="AH117">
        <v>22</v>
      </c>
      <c r="AI117">
        <v>290.39999999999998</v>
      </c>
      <c r="AJ117">
        <v>46</v>
      </c>
      <c r="AK117">
        <v>6.3130434782608686</v>
      </c>
      <c r="AL117">
        <v>523</v>
      </c>
      <c r="AM117">
        <v>7.0000000000000007E-2</v>
      </c>
      <c r="AN117">
        <v>0</v>
      </c>
      <c r="AO117">
        <v>0</v>
      </c>
      <c r="AP117">
        <v>0</v>
      </c>
      <c r="AQ117">
        <v>0</v>
      </c>
      <c r="AR117">
        <v>0</v>
      </c>
      <c r="AS117" t="s">
        <v>98</v>
      </c>
      <c r="AT117" t="s">
        <v>144</v>
      </c>
    </row>
    <row r="118" spans="1:46" x14ac:dyDescent="0.25">
      <c r="A118">
        <v>17</v>
      </c>
      <c r="B118" t="s">
        <v>17</v>
      </c>
      <c r="C118">
        <v>33</v>
      </c>
      <c r="D118">
        <v>55</v>
      </c>
      <c r="E118">
        <v>-22</v>
      </c>
      <c r="F118">
        <v>11</v>
      </c>
      <c r="G118">
        <v>48</v>
      </c>
      <c r="H118">
        <v>1</v>
      </c>
      <c r="I118">
        <v>39.299999999999997</v>
      </c>
      <c r="J118">
        <v>54.7</v>
      </c>
      <c r="K118">
        <v>-6.2999999999999972</v>
      </c>
      <c r="L118">
        <v>381</v>
      </c>
      <c r="M118">
        <v>124</v>
      </c>
      <c r="N118">
        <v>3</v>
      </c>
      <c r="O118">
        <v>8</v>
      </c>
      <c r="P118">
        <v>28</v>
      </c>
      <c r="Q118">
        <v>5</v>
      </c>
      <c r="R118">
        <v>1</v>
      </c>
      <c r="S118">
        <v>80</v>
      </c>
      <c r="T118">
        <v>1</v>
      </c>
      <c r="U118">
        <v>3</v>
      </c>
      <c r="V118">
        <v>125</v>
      </c>
      <c r="W118">
        <v>824</v>
      </c>
      <c r="X118">
        <v>507</v>
      </c>
      <c r="Y118">
        <v>384</v>
      </c>
      <c r="Z118">
        <v>10825</v>
      </c>
      <c r="AA118">
        <v>10</v>
      </c>
      <c r="AB118">
        <v>2344</v>
      </c>
      <c r="AC118">
        <v>772</v>
      </c>
      <c r="AD118">
        <v>172</v>
      </c>
      <c r="AE118">
        <v>1.1000000000000001</v>
      </c>
      <c r="AF118">
        <v>2.2999999999999998</v>
      </c>
      <c r="AG118">
        <v>6</v>
      </c>
      <c r="AH118">
        <v>6</v>
      </c>
      <c r="AI118">
        <v>132.30000000000001</v>
      </c>
      <c r="AJ118">
        <v>32</v>
      </c>
      <c r="AK118">
        <v>4.1343750000000004</v>
      </c>
      <c r="AL118">
        <v>178</v>
      </c>
      <c r="AM118">
        <v>-7.0000000000000007E-2</v>
      </c>
      <c r="AN118">
        <v>0</v>
      </c>
      <c r="AO118">
        <v>0</v>
      </c>
      <c r="AP118">
        <v>0</v>
      </c>
      <c r="AQ118">
        <v>0</v>
      </c>
      <c r="AR118">
        <v>0</v>
      </c>
      <c r="AS118" t="s">
        <v>98</v>
      </c>
      <c r="AT118" t="s">
        <v>144</v>
      </c>
    </row>
    <row r="119" spans="1:46" x14ac:dyDescent="0.25">
      <c r="A119">
        <v>18</v>
      </c>
      <c r="B119" t="s">
        <v>27</v>
      </c>
      <c r="C119">
        <v>27</v>
      </c>
      <c r="D119">
        <v>53</v>
      </c>
      <c r="E119">
        <v>-26</v>
      </c>
      <c r="F119">
        <v>9</v>
      </c>
      <c r="G119">
        <v>67</v>
      </c>
      <c r="H119">
        <v>3</v>
      </c>
      <c r="I119">
        <v>40.5</v>
      </c>
      <c r="J119">
        <v>52.6</v>
      </c>
      <c r="K119">
        <v>-13.5</v>
      </c>
      <c r="L119">
        <v>436</v>
      </c>
      <c r="M119">
        <v>125</v>
      </c>
      <c r="N119">
        <v>3</v>
      </c>
      <c r="O119">
        <v>5</v>
      </c>
      <c r="P119">
        <v>25</v>
      </c>
      <c r="Q119">
        <v>2</v>
      </c>
      <c r="R119">
        <v>1</v>
      </c>
      <c r="S119">
        <v>43</v>
      </c>
      <c r="T119">
        <v>1</v>
      </c>
      <c r="U119">
        <v>7</v>
      </c>
      <c r="V119">
        <v>118</v>
      </c>
      <c r="W119">
        <v>794</v>
      </c>
      <c r="X119">
        <v>601</v>
      </c>
      <c r="Y119">
        <v>484</v>
      </c>
      <c r="Z119">
        <v>15401</v>
      </c>
      <c r="AA119">
        <v>17</v>
      </c>
      <c r="AB119">
        <v>2823</v>
      </c>
      <c r="AC119">
        <v>710</v>
      </c>
      <c r="AD119">
        <v>164</v>
      </c>
      <c r="AE119">
        <v>37.25</v>
      </c>
      <c r="AF119">
        <v>0</v>
      </c>
      <c r="AG119">
        <v>23</v>
      </c>
      <c r="AH119">
        <v>18</v>
      </c>
      <c r="AI119">
        <v>239.75</v>
      </c>
      <c r="AJ119">
        <v>38</v>
      </c>
      <c r="AK119">
        <v>6.3092105263157894</v>
      </c>
      <c r="AL119">
        <v>211</v>
      </c>
      <c r="AM119">
        <v>-0.2</v>
      </c>
      <c r="AN119">
        <v>0</v>
      </c>
      <c r="AO119">
        <v>1</v>
      </c>
      <c r="AP119">
        <v>0</v>
      </c>
      <c r="AQ119">
        <v>1</v>
      </c>
      <c r="AR119">
        <v>0</v>
      </c>
      <c r="AS119" t="s">
        <v>98</v>
      </c>
      <c r="AT119" t="s">
        <v>144</v>
      </c>
    </row>
    <row r="120" spans="1:46" x14ac:dyDescent="0.25">
      <c r="A120">
        <v>19</v>
      </c>
      <c r="B120" t="s">
        <v>28</v>
      </c>
      <c r="C120">
        <v>35</v>
      </c>
      <c r="D120">
        <v>76</v>
      </c>
      <c r="E120">
        <v>-41</v>
      </c>
      <c r="F120">
        <v>6</v>
      </c>
      <c r="G120">
        <v>51</v>
      </c>
      <c r="H120">
        <v>4</v>
      </c>
      <c r="I120">
        <v>35.799999999999997</v>
      </c>
      <c r="J120">
        <v>67.900000000000006</v>
      </c>
      <c r="K120">
        <v>-0.79999999999999716</v>
      </c>
      <c r="L120">
        <v>335</v>
      </c>
      <c r="M120">
        <v>106</v>
      </c>
      <c r="N120">
        <v>4</v>
      </c>
      <c r="O120">
        <v>5</v>
      </c>
      <c r="P120">
        <v>27</v>
      </c>
      <c r="Q120">
        <v>8</v>
      </c>
      <c r="R120">
        <v>2</v>
      </c>
      <c r="S120">
        <v>75</v>
      </c>
      <c r="T120">
        <v>3</v>
      </c>
      <c r="U120">
        <v>11</v>
      </c>
      <c r="V120">
        <v>166</v>
      </c>
      <c r="W120">
        <v>876</v>
      </c>
      <c r="X120">
        <v>581</v>
      </c>
      <c r="Y120">
        <v>404</v>
      </c>
      <c r="Z120">
        <v>9769</v>
      </c>
      <c r="AA120">
        <v>13</v>
      </c>
      <c r="AB120">
        <v>1961</v>
      </c>
      <c r="AC120">
        <v>604</v>
      </c>
      <c r="AD120">
        <v>144</v>
      </c>
      <c r="AE120">
        <v>42.14</v>
      </c>
      <c r="AF120">
        <v>8.1</v>
      </c>
      <c r="AG120">
        <v>21</v>
      </c>
      <c r="AH120">
        <v>21</v>
      </c>
      <c r="AI120">
        <v>141.15</v>
      </c>
      <c r="AJ120">
        <v>43</v>
      </c>
      <c r="AK120">
        <v>3.282558139534884</v>
      </c>
      <c r="AL120">
        <v>283</v>
      </c>
      <c r="AM120">
        <v>-0.08</v>
      </c>
      <c r="AN120">
        <v>0</v>
      </c>
      <c r="AO120">
        <v>1</v>
      </c>
      <c r="AP120">
        <v>0</v>
      </c>
      <c r="AQ120">
        <v>1</v>
      </c>
      <c r="AR120">
        <v>0</v>
      </c>
      <c r="AS120" t="s">
        <v>98</v>
      </c>
      <c r="AT120" t="s">
        <v>144</v>
      </c>
    </row>
    <row r="121" spans="1:46" x14ac:dyDescent="0.25">
      <c r="A121">
        <v>20</v>
      </c>
      <c r="B121" t="s">
        <v>29</v>
      </c>
      <c r="C121">
        <v>20</v>
      </c>
      <c r="D121">
        <v>63</v>
      </c>
      <c r="E121">
        <v>-43</v>
      </c>
      <c r="F121">
        <v>5</v>
      </c>
      <c r="G121">
        <v>73</v>
      </c>
      <c r="H121">
        <v>3</v>
      </c>
      <c r="I121">
        <v>32.6</v>
      </c>
      <c r="J121">
        <v>62.2</v>
      </c>
      <c r="K121">
        <v>-12.600000000000001</v>
      </c>
      <c r="L121">
        <v>319</v>
      </c>
      <c r="M121">
        <v>92</v>
      </c>
      <c r="N121">
        <v>3</v>
      </c>
      <c r="O121">
        <v>4</v>
      </c>
      <c r="P121">
        <v>18</v>
      </c>
      <c r="Q121">
        <v>2</v>
      </c>
      <c r="R121">
        <v>0</v>
      </c>
      <c r="S121">
        <v>73</v>
      </c>
      <c r="T121">
        <v>3</v>
      </c>
      <c r="U121">
        <v>4</v>
      </c>
      <c r="V121">
        <v>145</v>
      </c>
      <c r="W121">
        <v>839</v>
      </c>
      <c r="X121">
        <v>634</v>
      </c>
      <c r="Y121">
        <v>459</v>
      </c>
      <c r="Z121">
        <v>12146</v>
      </c>
      <c r="AA121">
        <v>13</v>
      </c>
      <c r="AB121">
        <v>2405</v>
      </c>
      <c r="AC121">
        <v>666</v>
      </c>
      <c r="AD121">
        <v>170</v>
      </c>
      <c r="AE121">
        <v>62.7</v>
      </c>
      <c r="AF121">
        <v>0</v>
      </c>
      <c r="AG121">
        <v>16</v>
      </c>
      <c r="AH121">
        <v>19</v>
      </c>
      <c r="AI121">
        <v>149.85</v>
      </c>
      <c r="AJ121">
        <v>40</v>
      </c>
      <c r="AK121">
        <v>3.7462499999999999</v>
      </c>
      <c r="AL121">
        <v>263</v>
      </c>
      <c r="AM121">
        <v>0.17</v>
      </c>
      <c r="AN121">
        <v>0</v>
      </c>
      <c r="AO121">
        <v>0</v>
      </c>
      <c r="AP121">
        <v>0</v>
      </c>
      <c r="AQ121">
        <v>1</v>
      </c>
      <c r="AR121">
        <v>0</v>
      </c>
      <c r="AS121" t="s">
        <v>98</v>
      </c>
      <c r="AT121" t="s">
        <v>144</v>
      </c>
    </row>
    <row r="122" spans="1:46" x14ac:dyDescent="0.25">
      <c r="A122">
        <v>1</v>
      </c>
      <c r="B122" t="s">
        <v>25</v>
      </c>
      <c r="C122">
        <v>99</v>
      </c>
      <c r="D122">
        <v>26</v>
      </c>
      <c r="E122">
        <v>73</v>
      </c>
      <c r="F122">
        <v>21</v>
      </c>
      <c r="G122">
        <v>42</v>
      </c>
      <c r="H122">
        <v>1</v>
      </c>
      <c r="I122">
        <v>88.7</v>
      </c>
      <c r="J122">
        <v>24.6</v>
      </c>
      <c r="K122">
        <v>10.299999999999997</v>
      </c>
      <c r="L122">
        <v>704</v>
      </c>
      <c r="M122">
        <v>237</v>
      </c>
      <c r="N122">
        <v>7</v>
      </c>
      <c r="O122">
        <v>15</v>
      </c>
      <c r="P122">
        <v>84</v>
      </c>
      <c r="Q122">
        <v>15</v>
      </c>
      <c r="R122">
        <v>2</v>
      </c>
      <c r="S122">
        <v>66</v>
      </c>
      <c r="T122">
        <v>0</v>
      </c>
      <c r="U122">
        <v>1</v>
      </c>
      <c r="V122">
        <v>59</v>
      </c>
      <c r="W122">
        <v>227</v>
      </c>
      <c r="X122">
        <v>403</v>
      </c>
      <c r="Y122">
        <v>321</v>
      </c>
      <c r="Z122">
        <v>24406</v>
      </c>
      <c r="AA122">
        <v>102</v>
      </c>
      <c r="AB122">
        <v>4426</v>
      </c>
      <c r="AC122">
        <v>869</v>
      </c>
      <c r="AD122">
        <v>316</v>
      </c>
      <c r="AE122">
        <v>138.9</v>
      </c>
      <c r="AF122">
        <v>93.8</v>
      </c>
      <c r="AG122">
        <v>21</v>
      </c>
      <c r="AH122">
        <v>24</v>
      </c>
      <c r="AI122">
        <v>1000</v>
      </c>
      <c r="AJ122">
        <v>39</v>
      </c>
      <c r="AK122">
        <v>25.641025641025642</v>
      </c>
      <c r="AL122">
        <v>52774</v>
      </c>
      <c r="AM122">
        <v>0.01</v>
      </c>
      <c r="AN122">
        <v>1</v>
      </c>
      <c r="AO122">
        <v>0</v>
      </c>
      <c r="AP122">
        <v>1</v>
      </c>
      <c r="AQ122">
        <v>0</v>
      </c>
      <c r="AR122">
        <v>1</v>
      </c>
      <c r="AS122" t="s">
        <v>99</v>
      </c>
      <c r="AT122" t="s">
        <v>145</v>
      </c>
    </row>
    <row r="123" spans="1:46" x14ac:dyDescent="0.25">
      <c r="A123">
        <v>2</v>
      </c>
      <c r="B123" t="s">
        <v>1</v>
      </c>
      <c r="C123">
        <v>94</v>
      </c>
      <c r="D123">
        <v>26</v>
      </c>
      <c r="E123">
        <v>68</v>
      </c>
      <c r="F123">
        <v>21</v>
      </c>
      <c r="G123">
        <v>50</v>
      </c>
      <c r="H123">
        <v>1</v>
      </c>
      <c r="I123">
        <v>88.7</v>
      </c>
      <c r="J123">
        <v>33.799999999999997</v>
      </c>
      <c r="K123">
        <v>5.2999999999999972</v>
      </c>
      <c r="L123">
        <v>721</v>
      </c>
      <c r="M123">
        <v>237</v>
      </c>
      <c r="N123">
        <v>7</v>
      </c>
      <c r="O123">
        <v>16</v>
      </c>
      <c r="P123">
        <v>86</v>
      </c>
      <c r="Q123">
        <v>8</v>
      </c>
      <c r="R123">
        <v>5</v>
      </c>
      <c r="S123">
        <v>63</v>
      </c>
      <c r="T123">
        <v>1</v>
      </c>
      <c r="U123">
        <v>0</v>
      </c>
      <c r="V123">
        <v>82</v>
      </c>
      <c r="W123">
        <v>523</v>
      </c>
      <c r="X123">
        <v>523</v>
      </c>
      <c r="Y123">
        <v>363</v>
      </c>
      <c r="Z123">
        <v>21163</v>
      </c>
      <c r="AA123">
        <v>112</v>
      </c>
      <c r="AB123">
        <v>3505</v>
      </c>
      <c r="AC123">
        <v>897</v>
      </c>
      <c r="AD123">
        <v>282</v>
      </c>
      <c r="AE123">
        <v>87</v>
      </c>
      <c r="AF123">
        <v>29.55</v>
      </c>
      <c r="AG123">
        <v>14</v>
      </c>
      <c r="AH123">
        <v>12</v>
      </c>
      <c r="AI123">
        <v>918.9</v>
      </c>
      <c r="AJ123">
        <v>49</v>
      </c>
      <c r="AK123">
        <v>18.753061224489795</v>
      </c>
      <c r="AL123">
        <v>53352</v>
      </c>
      <c r="AM123">
        <v>0.18</v>
      </c>
      <c r="AN123">
        <v>1</v>
      </c>
      <c r="AO123">
        <v>0</v>
      </c>
      <c r="AP123">
        <v>1</v>
      </c>
      <c r="AQ123">
        <v>0</v>
      </c>
      <c r="AR123">
        <v>1</v>
      </c>
      <c r="AS123" t="s">
        <v>99</v>
      </c>
      <c r="AT123" t="s">
        <v>145</v>
      </c>
    </row>
    <row r="124" spans="1:46" x14ac:dyDescent="0.25">
      <c r="A124">
        <v>3</v>
      </c>
      <c r="B124" t="s">
        <v>2</v>
      </c>
      <c r="C124">
        <v>76</v>
      </c>
      <c r="D124">
        <v>33</v>
      </c>
      <c r="E124">
        <v>43</v>
      </c>
      <c r="F124">
        <v>16</v>
      </c>
      <c r="G124">
        <v>63</v>
      </c>
      <c r="H124">
        <v>1</v>
      </c>
      <c r="I124">
        <v>63.4</v>
      </c>
      <c r="J124">
        <v>33.200000000000003</v>
      </c>
      <c r="K124">
        <v>12.600000000000001</v>
      </c>
      <c r="L124">
        <v>583</v>
      </c>
      <c r="M124">
        <v>200</v>
      </c>
      <c r="N124">
        <v>8</v>
      </c>
      <c r="O124">
        <v>12</v>
      </c>
      <c r="P124">
        <v>63</v>
      </c>
      <c r="Q124">
        <v>14</v>
      </c>
      <c r="R124">
        <v>0</v>
      </c>
      <c r="S124">
        <v>69</v>
      </c>
      <c r="T124">
        <v>1</v>
      </c>
      <c r="U124">
        <v>6</v>
      </c>
      <c r="V124">
        <v>83</v>
      </c>
      <c r="W124">
        <v>641</v>
      </c>
      <c r="X124">
        <v>641</v>
      </c>
      <c r="Y124">
        <v>409</v>
      </c>
      <c r="Z124">
        <v>21190</v>
      </c>
      <c r="AA124">
        <v>77</v>
      </c>
      <c r="AB124">
        <v>3698</v>
      </c>
      <c r="AC124">
        <v>745</v>
      </c>
      <c r="AD124">
        <v>241</v>
      </c>
      <c r="AE124">
        <v>118</v>
      </c>
      <c r="AF124">
        <v>148.9</v>
      </c>
      <c r="AG124">
        <v>21</v>
      </c>
      <c r="AH124">
        <v>23</v>
      </c>
      <c r="AI124">
        <v>914.5</v>
      </c>
      <c r="AJ124">
        <v>44</v>
      </c>
      <c r="AK124">
        <v>20.78409090909091</v>
      </c>
      <c r="AL124">
        <v>36443</v>
      </c>
      <c r="AM124">
        <v>-0.18</v>
      </c>
      <c r="AN124">
        <v>1</v>
      </c>
      <c r="AO124">
        <v>0</v>
      </c>
      <c r="AP124">
        <v>1</v>
      </c>
      <c r="AQ124">
        <v>0</v>
      </c>
      <c r="AR124">
        <v>1</v>
      </c>
      <c r="AS124" t="s">
        <v>99</v>
      </c>
      <c r="AT124" t="s">
        <v>145</v>
      </c>
    </row>
    <row r="125" spans="1:46" x14ac:dyDescent="0.25">
      <c r="A125">
        <v>4</v>
      </c>
      <c r="B125" t="s">
        <v>3</v>
      </c>
      <c r="C125">
        <v>69</v>
      </c>
      <c r="D125">
        <v>40</v>
      </c>
      <c r="E125">
        <v>29</v>
      </c>
      <c r="F125">
        <v>16</v>
      </c>
      <c r="G125">
        <v>69</v>
      </c>
      <c r="H125">
        <v>1</v>
      </c>
      <c r="I125">
        <v>61.2</v>
      </c>
      <c r="J125">
        <v>39.299999999999997</v>
      </c>
      <c r="K125">
        <v>7.7999999999999972</v>
      </c>
      <c r="L125">
        <v>486</v>
      </c>
      <c r="M125">
        <v>185</v>
      </c>
      <c r="N125">
        <v>5</v>
      </c>
      <c r="O125">
        <v>8</v>
      </c>
      <c r="P125">
        <v>62</v>
      </c>
      <c r="Q125">
        <v>8</v>
      </c>
      <c r="R125">
        <v>4</v>
      </c>
      <c r="S125">
        <v>62</v>
      </c>
      <c r="T125">
        <v>1</v>
      </c>
      <c r="U125">
        <v>2</v>
      </c>
      <c r="V125">
        <v>98</v>
      </c>
      <c r="W125">
        <v>793</v>
      </c>
      <c r="X125">
        <v>793</v>
      </c>
      <c r="Y125">
        <v>386</v>
      </c>
      <c r="Z125">
        <v>17204</v>
      </c>
      <c r="AA125">
        <v>88</v>
      </c>
      <c r="AB125">
        <v>2825</v>
      </c>
      <c r="AC125">
        <v>632</v>
      </c>
      <c r="AD125">
        <v>193</v>
      </c>
      <c r="AE125">
        <v>95.9</v>
      </c>
      <c r="AF125">
        <v>34.619999999999997</v>
      </c>
      <c r="AG125">
        <v>14</v>
      </c>
      <c r="AH125">
        <v>19</v>
      </c>
      <c r="AI125">
        <v>689.35</v>
      </c>
      <c r="AJ125">
        <v>45</v>
      </c>
      <c r="AK125">
        <v>15.318888888888889</v>
      </c>
      <c r="AL125">
        <v>56523</v>
      </c>
      <c r="AM125">
        <v>0.08</v>
      </c>
      <c r="AN125">
        <v>1</v>
      </c>
      <c r="AO125">
        <v>0</v>
      </c>
      <c r="AP125">
        <v>1</v>
      </c>
      <c r="AQ125">
        <v>0</v>
      </c>
      <c r="AR125">
        <v>1</v>
      </c>
      <c r="AS125" t="s">
        <v>99</v>
      </c>
      <c r="AT125" t="s">
        <v>145</v>
      </c>
    </row>
    <row r="126" spans="1:46" x14ac:dyDescent="0.25">
      <c r="A126">
        <v>5</v>
      </c>
      <c r="B126" t="s">
        <v>6</v>
      </c>
      <c r="C126">
        <v>61</v>
      </c>
      <c r="D126">
        <v>48</v>
      </c>
      <c r="E126">
        <v>13</v>
      </c>
      <c r="F126">
        <v>13</v>
      </c>
      <c r="G126">
        <v>67</v>
      </c>
      <c r="H126">
        <v>4</v>
      </c>
      <c r="I126">
        <v>60.5</v>
      </c>
      <c r="J126">
        <v>45.7</v>
      </c>
      <c r="K126">
        <v>0.5</v>
      </c>
      <c r="L126">
        <v>581</v>
      </c>
      <c r="M126">
        <v>186</v>
      </c>
      <c r="N126">
        <v>5</v>
      </c>
      <c r="O126">
        <v>9</v>
      </c>
      <c r="P126">
        <v>52</v>
      </c>
      <c r="Q126">
        <v>10</v>
      </c>
      <c r="R126">
        <v>6</v>
      </c>
      <c r="S126">
        <v>66</v>
      </c>
      <c r="T126">
        <v>1</v>
      </c>
      <c r="U126">
        <v>6</v>
      </c>
      <c r="V126">
        <v>100</v>
      </c>
      <c r="W126">
        <v>658</v>
      </c>
      <c r="X126">
        <v>658</v>
      </c>
      <c r="Y126">
        <v>365</v>
      </c>
      <c r="Z126">
        <v>16176</v>
      </c>
      <c r="AA126">
        <v>77</v>
      </c>
      <c r="AB126">
        <v>2876</v>
      </c>
      <c r="AC126">
        <v>633</v>
      </c>
      <c r="AD126">
        <v>208</v>
      </c>
      <c r="AE126">
        <v>167.42</v>
      </c>
      <c r="AF126">
        <v>31.4</v>
      </c>
      <c r="AG126">
        <v>13</v>
      </c>
      <c r="AH126">
        <v>20</v>
      </c>
      <c r="AI126">
        <v>613.04999999999995</v>
      </c>
      <c r="AJ126">
        <v>41</v>
      </c>
      <c r="AK126">
        <v>14.952439024390243</v>
      </c>
      <c r="AL126">
        <v>59665</v>
      </c>
      <c r="AM126">
        <v>0.22</v>
      </c>
      <c r="AN126">
        <v>0</v>
      </c>
      <c r="AO126">
        <v>0</v>
      </c>
      <c r="AP126">
        <v>0</v>
      </c>
      <c r="AQ126">
        <v>0</v>
      </c>
      <c r="AR126">
        <v>1</v>
      </c>
      <c r="AS126" t="s">
        <v>99</v>
      </c>
      <c r="AT126" t="s">
        <v>145</v>
      </c>
    </row>
    <row r="127" spans="1:46" x14ac:dyDescent="0.25">
      <c r="A127">
        <v>6</v>
      </c>
      <c r="B127" t="s">
        <v>4</v>
      </c>
      <c r="C127">
        <v>57</v>
      </c>
      <c r="D127">
        <v>57</v>
      </c>
      <c r="E127">
        <v>0</v>
      </c>
      <c r="F127">
        <v>8</v>
      </c>
      <c r="G127">
        <v>77</v>
      </c>
      <c r="H127">
        <v>2</v>
      </c>
      <c r="I127">
        <v>55.8</v>
      </c>
      <c r="J127">
        <v>53</v>
      </c>
      <c r="K127">
        <v>1.2000000000000028</v>
      </c>
      <c r="L127">
        <v>503</v>
      </c>
      <c r="M127">
        <v>179</v>
      </c>
      <c r="N127">
        <v>3</v>
      </c>
      <c r="O127">
        <v>7</v>
      </c>
      <c r="P127">
        <v>49</v>
      </c>
      <c r="Q127">
        <v>8</v>
      </c>
      <c r="R127">
        <v>0</v>
      </c>
      <c r="S127">
        <v>88</v>
      </c>
      <c r="T127">
        <v>3</v>
      </c>
      <c r="U127">
        <v>5</v>
      </c>
      <c r="V127">
        <v>124</v>
      </c>
      <c r="W127">
        <v>704</v>
      </c>
      <c r="X127">
        <v>704</v>
      </c>
      <c r="Y127">
        <v>396</v>
      </c>
      <c r="Z127">
        <v>16690</v>
      </c>
      <c r="AA127">
        <v>80</v>
      </c>
      <c r="AB127">
        <v>2810</v>
      </c>
      <c r="AC127">
        <v>659</v>
      </c>
      <c r="AD127">
        <v>197</v>
      </c>
      <c r="AE127">
        <v>142</v>
      </c>
      <c r="AF127">
        <v>31.1</v>
      </c>
      <c r="AG127">
        <v>17</v>
      </c>
      <c r="AH127">
        <v>14</v>
      </c>
      <c r="AI127">
        <v>769.15</v>
      </c>
      <c r="AJ127">
        <v>43</v>
      </c>
      <c r="AK127">
        <v>17.88720930232558</v>
      </c>
      <c r="AL127">
        <v>73150</v>
      </c>
      <c r="AM127">
        <v>0.18</v>
      </c>
      <c r="AN127">
        <v>1</v>
      </c>
      <c r="AO127">
        <v>0</v>
      </c>
      <c r="AP127">
        <v>0</v>
      </c>
      <c r="AQ127">
        <v>0</v>
      </c>
      <c r="AR127">
        <v>1</v>
      </c>
      <c r="AS127" t="s">
        <v>99</v>
      </c>
      <c r="AT127" t="s">
        <v>145</v>
      </c>
    </row>
    <row r="128" spans="1:46" x14ac:dyDescent="0.25">
      <c r="A128">
        <v>7</v>
      </c>
      <c r="B128" t="s">
        <v>5</v>
      </c>
      <c r="C128">
        <v>60</v>
      </c>
      <c r="D128">
        <v>51</v>
      </c>
      <c r="E128">
        <v>9</v>
      </c>
      <c r="F128">
        <v>8</v>
      </c>
      <c r="G128">
        <v>52</v>
      </c>
      <c r="H128">
        <v>3</v>
      </c>
      <c r="I128">
        <v>51.4</v>
      </c>
      <c r="J128">
        <v>53.5</v>
      </c>
      <c r="K128">
        <v>8.6000000000000014</v>
      </c>
      <c r="L128">
        <v>443</v>
      </c>
      <c r="M128">
        <v>142</v>
      </c>
      <c r="N128">
        <v>4</v>
      </c>
      <c r="O128">
        <v>8</v>
      </c>
      <c r="P128">
        <v>52</v>
      </c>
      <c r="Q128">
        <v>9</v>
      </c>
      <c r="R128">
        <v>6</v>
      </c>
      <c r="S128">
        <v>59</v>
      </c>
      <c r="T128">
        <v>2</v>
      </c>
      <c r="U128">
        <v>6</v>
      </c>
      <c r="V128">
        <v>113</v>
      </c>
      <c r="W128">
        <v>781</v>
      </c>
      <c r="X128">
        <v>781</v>
      </c>
      <c r="Y128">
        <v>323</v>
      </c>
      <c r="Z128">
        <v>14326</v>
      </c>
      <c r="AA128">
        <v>29</v>
      </c>
      <c r="AB128">
        <v>2533</v>
      </c>
      <c r="AC128">
        <v>802</v>
      </c>
      <c r="AD128">
        <v>200</v>
      </c>
      <c r="AE128">
        <v>74.5</v>
      </c>
      <c r="AF128">
        <v>4.24</v>
      </c>
      <c r="AG128">
        <v>10</v>
      </c>
      <c r="AH128">
        <v>8</v>
      </c>
      <c r="AI128">
        <v>354.9</v>
      </c>
      <c r="AJ128">
        <v>36</v>
      </c>
      <c r="AK128">
        <v>9.8583333333333325</v>
      </c>
      <c r="AL128">
        <v>58370</v>
      </c>
      <c r="AM128">
        <v>0.04</v>
      </c>
      <c r="AN128">
        <v>1</v>
      </c>
      <c r="AO128">
        <v>0</v>
      </c>
      <c r="AP128">
        <v>0</v>
      </c>
      <c r="AQ128">
        <v>0</v>
      </c>
      <c r="AR128">
        <v>0</v>
      </c>
      <c r="AS128" t="s">
        <v>99</v>
      </c>
      <c r="AT128" t="s">
        <v>145</v>
      </c>
    </row>
    <row r="129" spans="1:46" x14ac:dyDescent="0.25">
      <c r="A129">
        <v>8</v>
      </c>
      <c r="B129" t="s">
        <v>7</v>
      </c>
      <c r="C129">
        <v>62</v>
      </c>
      <c r="D129">
        <v>59</v>
      </c>
      <c r="E129">
        <v>3</v>
      </c>
      <c r="F129">
        <v>7</v>
      </c>
      <c r="G129">
        <v>55</v>
      </c>
      <c r="H129">
        <v>1</v>
      </c>
      <c r="I129">
        <v>47.8</v>
      </c>
      <c r="J129">
        <v>59.3</v>
      </c>
      <c r="K129">
        <v>14.200000000000003</v>
      </c>
      <c r="L129">
        <v>433</v>
      </c>
      <c r="M129">
        <v>164</v>
      </c>
      <c r="N129">
        <v>2</v>
      </c>
      <c r="O129">
        <v>5</v>
      </c>
      <c r="P129">
        <v>55</v>
      </c>
      <c r="Q129">
        <v>7</v>
      </c>
      <c r="R129">
        <v>4</v>
      </c>
      <c r="S129">
        <v>60</v>
      </c>
      <c r="T129">
        <v>1</v>
      </c>
      <c r="U129">
        <v>9</v>
      </c>
      <c r="V129">
        <v>132</v>
      </c>
      <c r="W129">
        <v>777</v>
      </c>
      <c r="X129">
        <v>777</v>
      </c>
      <c r="Y129">
        <v>356</v>
      </c>
      <c r="Z129">
        <v>16129</v>
      </c>
      <c r="AA129">
        <v>65</v>
      </c>
      <c r="AB129">
        <v>2765</v>
      </c>
      <c r="AC129">
        <v>556</v>
      </c>
      <c r="AD129">
        <v>185</v>
      </c>
      <c r="AE129">
        <v>67.599999999999994</v>
      </c>
      <c r="AF129">
        <v>4</v>
      </c>
      <c r="AG129">
        <v>11</v>
      </c>
      <c r="AH129">
        <v>11</v>
      </c>
      <c r="AI129">
        <v>526.54999999999995</v>
      </c>
      <c r="AJ129">
        <v>40</v>
      </c>
      <c r="AK129">
        <v>13.163749999999999</v>
      </c>
      <c r="AL129">
        <v>32493</v>
      </c>
      <c r="AM129">
        <v>0.16</v>
      </c>
      <c r="AN129">
        <v>1</v>
      </c>
      <c r="AO129">
        <v>0</v>
      </c>
      <c r="AP129">
        <v>0</v>
      </c>
      <c r="AQ129">
        <v>0</v>
      </c>
      <c r="AR129">
        <v>0</v>
      </c>
      <c r="AS129" t="s">
        <v>99</v>
      </c>
      <c r="AT129" t="s">
        <v>145</v>
      </c>
    </row>
    <row r="130" spans="1:46" x14ac:dyDescent="0.25">
      <c r="A130">
        <v>9</v>
      </c>
      <c r="B130" t="s">
        <v>14</v>
      </c>
      <c r="C130">
        <v>42</v>
      </c>
      <c r="D130">
        <v>44</v>
      </c>
      <c r="E130">
        <v>-2</v>
      </c>
      <c r="F130">
        <v>11</v>
      </c>
      <c r="G130">
        <v>72</v>
      </c>
      <c r="H130">
        <v>2</v>
      </c>
      <c r="I130">
        <v>46.2</v>
      </c>
      <c r="J130">
        <v>42.9</v>
      </c>
      <c r="K130">
        <v>-4.2000000000000028</v>
      </c>
      <c r="L130">
        <v>482</v>
      </c>
      <c r="M130">
        <v>141</v>
      </c>
      <c r="N130">
        <v>4</v>
      </c>
      <c r="O130">
        <v>8</v>
      </c>
      <c r="P130">
        <v>34</v>
      </c>
      <c r="Q130">
        <v>8</v>
      </c>
      <c r="R130">
        <v>2</v>
      </c>
      <c r="S130">
        <v>53</v>
      </c>
      <c r="T130">
        <v>0</v>
      </c>
      <c r="U130">
        <v>4</v>
      </c>
      <c r="V130">
        <v>102</v>
      </c>
      <c r="W130">
        <v>723</v>
      </c>
      <c r="X130">
        <v>723</v>
      </c>
      <c r="Y130">
        <v>393</v>
      </c>
      <c r="Z130">
        <v>16410</v>
      </c>
      <c r="AA130">
        <v>58</v>
      </c>
      <c r="AB130">
        <v>3069</v>
      </c>
      <c r="AC130">
        <v>728</v>
      </c>
      <c r="AD130">
        <v>200</v>
      </c>
      <c r="AE130">
        <v>75</v>
      </c>
      <c r="AF130">
        <v>78.8</v>
      </c>
      <c r="AG130">
        <v>26</v>
      </c>
      <c r="AH130">
        <v>29</v>
      </c>
      <c r="AI130">
        <v>318</v>
      </c>
      <c r="AJ130">
        <v>43</v>
      </c>
      <c r="AK130">
        <v>7.3953488372093021</v>
      </c>
      <c r="AL130">
        <v>30966</v>
      </c>
      <c r="AM130">
        <v>-7.0000000000000007E-2</v>
      </c>
      <c r="AN130">
        <v>0</v>
      </c>
      <c r="AO130">
        <v>0</v>
      </c>
      <c r="AP130">
        <v>0</v>
      </c>
      <c r="AQ130">
        <v>0</v>
      </c>
      <c r="AR130">
        <v>0</v>
      </c>
      <c r="AS130" t="s">
        <v>99</v>
      </c>
      <c r="AT130" t="s">
        <v>145</v>
      </c>
    </row>
    <row r="131" spans="1:46" x14ac:dyDescent="0.25">
      <c r="A131">
        <v>10</v>
      </c>
      <c r="B131" t="s">
        <v>16</v>
      </c>
      <c r="C131">
        <v>38</v>
      </c>
      <c r="D131">
        <v>43</v>
      </c>
      <c r="E131">
        <v>-5</v>
      </c>
      <c r="F131">
        <v>11</v>
      </c>
      <c r="G131">
        <v>62</v>
      </c>
      <c r="H131">
        <v>2</v>
      </c>
      <c r="I131">
        <v>37.5</v>
      </c>
      <c r="J131">
        <v>56.9</v>
      </c>
      <c r="K131">
        <v>0.5</v>
      </c>
      <c r="L131">
        <v>401</v>
      </c>
      <c r="M131">
        <v>133</v>
      </c>
      <c r="N131">
        <v>1</v>
      </c>
      <c r="O131">
        <v>5</v>
      </c>
      <c r="P131">
        <v>30</v>
      </c>
      <c r="Q131">
        <v>8</v>
      </c>
      <c r="R131">
        <v>4</v>
      </c>
      <c r="S131">
        <v>61</v>
      </c>
      <c r="T131">
        <v>1</v>
      </c>
      <c r="U131">
        <v>10</v>
      </c>
      <c r="V131">
        <v>125</v>
      </c>
      <c r="W131">
        <v>820</v>
      </c>
      <c r="X131">
        <v>820</v>
      </c>
      <c r="Y131">
        <v>366</v>
      </c>
      <c r="Z131">
        <v>15253</v>
      </c>
      <c r="AA131">
        <v>58</v>
      </c>
      <c r="AB131">
        <v>2665</v>
      </c>
      <c r="AC131">
        <v>587</v>
      </c>
      <c r="AD131">
        <v>168</v>
      </c>
      <c r="AE131">
        <v>37.6</v>
      </c>
      <c r="AF131">
        <v>31.8</v>
      </c>
      <c r="AG131">
        <v>26</v>
      </c>
      <c r="AH131">
        <v>22</v>
      </c>
      <c r="AI131">
        <v>376.95</v>
      </c>
      <c r="AJ131">
        <v>38</v>
      </c>
      <c r="AK131">
        <v>9.9197368421052623</v>
      </c>
      <c r="AL131">
        <v>30841</v>
      </c>
      <c r="AM131">
        <v>-0.06</v>
      </c>
      <c r="AN131">
        <v>0</v>
      </c>
      <c r="AO131">
        <v>0</v>
      </c>
      <c r="AP131">
        <v>0</v>
      </c>
      <c r="AQ131">
        <v>0</v>
      </c>
      <c r="AR131">
        <v>0</v>
      </c>
      <c r="AS131" t="s">
        <v>99</v>
      </c>
      <c r="AT131" t="s">
        <v>145</v>
      </c>
    </row>
    <row r="132" spans="1:46" x14ac:dyDescent="0.25">
      <c r="A132">
        <v>11</v>
      </c>
      <c r="B132" t="s">
        <v>12</v>
      </c>
      <c r="C132">
        <v>44</v>
      </c>
      <c r="D132">
        <v>62</v>
      </c>
      <c r="E132">
        <v>-18</v>
      </c>
      <c r="F132">
        <v>8</v>
      </c>
      <c r="G132">
        <v>81</v>
      </c>
      <c r="H132">
        <v>2</v>
      </c>
      <c r="I132">
        <v>38.1</v>
      </c>
      <c r="J132">
        <v>57.1</v>
      </c>
      <c r="K132">
        <v>5.8999999999999986</v>
      </c>
      <c r="L132">
        <v>446</v>
      </c>
      <c r="M132">
        <v>142</v>
      </c>
      <c r="N132">
        <v>3</v>
      </c>
      <c r="O132">
        <v>9</v>
      </c>
      <c r="P132">
        <v>37</v>
      </c>
      <c r="Q132">
        <v>7</v>
      </c>
      <c r="R132">
        <v>3</v>
      </c>
      <c r="S132">
        <v>71</v>
      </c>
      <c r="T132">
        <v>2</v>
      </c>
      <c r="U132">
        <v>6</v>
      </c>
      <c r="V132">
        <v>104</v>
      </c>
      <c r="W132">
        <v>776</v>
      </c>
      <c r="X132">
        <v>776</v>
      </c>
      <c r="Y132">
        <v>392</v>
      </c>
      <c r="Z132">
        <v>10201</v>
      </c>
      <c r="AA132">
        <v>31</v>
      </c>
      <c r="AB132">
        <v>1869</v>
      </c>
      <c r="AC132">
        <v>592</v>
      </c>
      <c r="AD132">
        <v>160</v>
      </c>
      <c r="AE132">
        <v>130.5</v>
      </c>
      <c r="AF132">
        <v>0</v>
      </c>
      <c r="AG132">
        <v>13</v>
      </c>
      <c r="AH132">
        <v>11</v>
      </c>
      <c r="AI132">
        <v>313.89999999999998</v>
      </c>
      <c r="AJ132">
        <v>34</v>
      </c>
      <c r="AK132">
        <v>9.2323529411764707</v>
      </c>
      <c r="AL132">
        <v>51487</v>
      </c>
      <c r="AM132">
        <v>0.16</v>
      </c>
      <c r="AN132">
        <v>0</v>
      </c>
      <c r="AO132">
        <v>0</v>
      </c>
      <c r="AP132">
        <v>0</v>
      </c>
      <c r="AQ132">
        <v>0</v>
      </c>
      <c r="AR132">
        <v>0</v>
      </c>
      <c r="AS132" t="s">
        <v>99</v>
      </c>
      <c r="AT132" t="s">
        <v>145</v>
      </c>
    </row>
    <row r="133" spans="1:46" x14ac:dyDescent="0.25">
      <c r="A133">
        <v>12</v>
      </c>
      <c r="B133" t="s">
        <v>9</v>
      </c>
      <c r="C133">
        <v>50</v>
      </c>
      <c r="D133">
        <v>46</v>
      </c>
      <c r="E133">
        <v>4</v>
      </c>
      <c r="F133">
        <v>12</v>
      </c>
      <c r="G133">
        <v>69</v>
      </c>
      <c r="H133">
        <v>1</v>
      </c>
      <c r="I133">
        <v>46.4</v>
      </c>
      <c r="J133">
        <v>40.700000000000003</v>
      </c>
      <c r="K133">
        <v>3.6000000000000014</v>
      </c>
      <c r="L133">
        <v>404</v>
      </c>
      <c r="M133">
        <v>140</v>
      </c>
      <c r="N133">
        <v>6</v>
      </c>
      <c r="O133">
        <v>6</v>
      </c>
      <c r="P133">
        <v>45</v>
      </c>
      <c r="Q133">
        <v>5</v>
      </c>
      <c r="R133">
        <v>2</v>
      </c>
      <c r="S133">
        <v>63</v>
      </c>
      <c r="T133">
        <v>2</v>
      </c>
      <c r="U133">
        <v>4</v>
      </c>
      <c r="V133">
        <v>99</v>
      </c>
      <c r="W133">
        <v>761</v>
      </c>
      <c r="X133">
        <v>761</v>
      </c>
      <c r="Y133">
        <v>414</v>
      </c>
      <c r="Z133">
        <v>14983</v>
      </c>
      <c r="AA133">
        <v>40</v>
      </c>
      <c r="AB133">
        <v>2829</v>
      </c>
      <c r="AC133">
        <v>643</v>
      </c>
      <c r="AD133">
        <v>175</v>
      </c>
      <c r="AE133">
        <v>85.62</v>
      </c>
      <c r="AF133">
        <v>0</v>
      </c>
      <c r="AG133">
        <v>13</v>
      </c>
      <c r="AH133">
        <v>16</v>
      </c>
      <c r="AI133">
        <v>271.05</v>
      </c>
      <c r="AJ133">
        <v>33</v>
      </c>
      <c r="AK133">
        <v>8.2136363636363647</v>
      </c>
      <c r="AL133">
        <v>24588</v>
      </c>
      <c r="AM133">
        <v>0.17</v>
      </c>
      <c r="AN133">
        <v>0</v>
      </c>
      <c r="AO133">
        <v>0</v>
      </c>
      <c r="AP133">
        <v>0</v>
      </c>
      <c r="AQ133">
        <v>0</v>
      </c>
      <c r="AR133">
        <v>0</v>
      </c>
      <c r="AS133" t="s">
        <v>99</v>
      </c>
      <c r="AT133" t="s">
        <v>145</v>
      </c>
    </row>
    <row r="134" spans="1:46" x14ac:dyDescent="0.25">
      <c r="A134">
        <v>13</v>
      </c>
      <c r="B134" t="s">
        <v>10</v>
      </c>
      <c r="C134">
        <v>48</v>
      </c>
      <c r="D134">
        <v>56</v>
      </c>
      <c r="E134">
        <v>-8</v>
      </c>
      <c r="F134">
        <v>9</v>
      </c>
      <c r="G134">
        <v>65</v>
      </c>
      <c r="H134">
        <v>3</v>
      </c>
      <c r="I134">
        <v>45.8</v>
      </c>
      <c r="J134">
        <v>48.5</v>
      </c>
      <c r="K134">
        <v>2.2000000000000028</v>
      </c>
      <c r="L134">
        <v>436</v>
      </c>
      <c r="M134">
        <v>141</v>
      </c>
      <c r="N134">
        <v>6</v>
      </c>
      <c r="O134">
        <v>11</v>
      </c>
      <c r="P134">
        <v>45</v>
      </c>
      <c r="Q134">
        <v>3</v>
      </c>
      <c r="R134">
        <v>1</v>
      </c>
      <c r="S134">
        <v>66</v>
      </c>
      <c r="T134">
        <v>2</v>
      </c>
      <c r="U134">
        <v>5</v>
      </c>
      <c r="V134">
        <v>125</v>
      </c>
      <c r="W134">
        <v>863</v>
      </c>
      <c r="X134">
        <v>863</v>
      </c>
      <c r="Y134">
        <v>371</v>
      </c>
      <c r="Z134">
        <v>11676</v>
      </c>
      <c r="AA134">
        <v>50</v>
      </c>
      <c r="AB134">
        <v>2198</v>
      </c>
      <c r="AC134">
        <v>640</v>
      </c>
      <c r="AD134">
        <v>159</v>
      </c>
      <c r="AE134">
        <v>38.200000000000003</v>
      </c>
      <c r="AF134">
        <v>1</v>
      </c>
      <c r="AG134">
        <v>19</v>
      </c>
      <c r="AH134">
        <v>15</v>
      </c>
      <c r="AI134">
        <v>273.3</v>
      </c>
      <c r="AJ134">
        <v>38</v>
      </c>
      <c r="AK134">
        <v>7.1921052631578952</v>
      </c>
      <c r="AL134">
        <v>16918</v>
      </c>
      <c r="AM134">
        <v>0.08</v>
      </c>
      <c r="AN134">
        <v>0</v>
      </c>
      <c r="AO134">
        <v>1</v>
      </c>
      <c r="AP134">
        <v>0</v>
      </c>
      <c r="AQ134">
        <v>0</v>
      </c>
      <c r="AR134">
        <v>0</v>
      </c>
      <c r="AS134" t="s">
        <v>99</v>
      </c>
      <c r="AT134" t="s">
        <v>145</v>
      </c>
    </row>
    <row r="135" spans="1:46" x14ac:dyDescent="0.25">
      <c r="A135">
        <v>14</v>
      </c>
      <c r="B135" t="s">
        <v>8</v>
      </c>
      <c r="C135">
        <v>52</v>
      </c>
      <c r="D135">
        <v>54</v>
      </c>
      <c r="E135">
        <v>-2</v>
      </c>
      <c r="F135">
        <v>11</v>
      </c>
      <c r="G135">
        <v>81</v>
      </c>
      <c r="H135">
        <v>2</v>
      </c>
      <c r="I135">
        <v>44</v>
      </c>
      <c r="J135">
        <v>49</v>
      </c>
      <c r="K135">
        <v>8</v>
      </c>
      <c r="L135">
        <v>461</v>
      </c>
      <c r="M135">
        <v>159</v>
      </c>
      <c r="N135">
        <v>3</v>
      </c>
      <c r="O135">
        <v>7</v>
      </c>
      <c r="P135">
        <v>46</v>
      </c>
      <c r="Q135">
        <v>7</v>
      </c>
      <c r="R135">
        <v>4</v>
      </c>
      <c r="S135">
        <v>52</v>
      </c>
      <c r="T135">
        <v>2</v>
      </c>
      <c r="U135">
        <v>6</v>
      </c>
      <c r="V135">
        <v>96</v>
      </c>
      <c r="W135">
        <v>693</v>
      </c>
      <c r="X135">
        <v>693</v>
      </c>
      <c r="Y135">
        <v>401</v>
      </c>
      <c r="Z135">
        <v>12748</v>
      </c>
      <c r="AA135">
        <v>71</v>
      </c>
      <c r="AB135">
        <v>2130</v>
      </c>
      <c r="AC135">
        <v>670</v>
      </c>
      <c r="AD135">
        <v>196</v>
      </c>
      <c r="AE135">
        <v>129.80000000000001</v>
      </c>
      <c r="AF135">
        <v>127</v>
      </c>
      <c r="AG135">
        <v>22</v>
      </c>
      <c r="AH135">
        <v>18</v>
      </c>
      <c r="AI135">
        <v>487.75</v>
      </c>
      <c r="AJ135">
        <v>44</v>
      </c>
      <c r="AK135">
        <v>11.085227272727273</v>
      </c>
      <c r="AL135">
        <v>41681</v>
      </c>
      <c r="AM135">
        <v>0.02</v>
      </c>
      <c r="AN135">
        <v>0</v>
      </c>
      <c r="AO135">
        <v>0</v>
      </c>
      <c r="AP135">
        <v>0</v>
      </c>
      <c r="AQ135">
        <v>0</v>
      </c>
      <c r="AR135">
        <v>0</v>
      </c>
      <c r="AS135" t="s">
        <v>99</v>
      </c>
      <c r="AT135" t="s">
        <v>145</v>
      </c>
    </row>
    <row r="136" spans="1:46" x14ac:dyDescent="0.25">
      <c r="A136">
        <v>15</v>
      </c>
      <c r="B136" t="s">
        <v>11</v>
      </c>
      <c r="C136">
        <v>43</v>
      </c>
      <c r="D136">
        <v>67</v>
      </c>
      <c r="E136">
        <v>-24</v>
      </c>
      <c r="F136">
        <v>8</v>
      </c>
      <c r="G136">
        <v>65</v>
      </c>
      <c r="H136">
        <v>2</v>
      </c>
      <c r="I136">
        <v>44.8</v>
      </c>
      <c r="J136">
        <v>60</v>
      </c>
      <c r="K136">
        <v>-1.7999999999999972</v>
      </c>
      <c r="L136">
        <v>478</v>
      </c>
      <c r="M136">
        <v>161</v>
      </c>
      <c r="N136">
        <v>4</v>
      </c>
      <c r="O136">
        <v>9</v>
      </c>
      <c r="P136">
        <v>34</v>
      </c>
      <c r="Q136">
        <v>9</v>
      </c>
      <c r="R136">
        <v>3</v>
      </c>
      <c r="S136">
        <v>42</v>
      </c>
      <c r="T136">
        <v>2</v>
      </c>
      <c r="U136">
        <v>2</v>
      </c>
      <c r="V136">
        <v>118</v>
      </c>
      <c r="W136">
        <v>795</v>
      </c>
      <c r="X136">
        <v>795</v>
      </c>
      <c r="Y136">
        <v>402</v>
      </c>
      <c r="Z136">
        <v>12505</v>
      </c>
      <c r="AA136">
        <v>43</v>
      </c>
      <c r="AB136">
        <v>2355</v>
      </c>
      <c r="AC136">
        <v>711</v>
      </c>
      <c r="AD136">
        <v>233</v>
      </c>
      <c r="AE136">
        <v>63.4</v>
      </c>
      <c r="AF136">
        <v>60.35</v>
      </c>
      <c r="AG136">
        <v>10</v>
      </c>
      <c r="AH136">
        <v>14</v>
      </c>
      <c r="AI136">
        <v>274.3</v>
      </c>
      <c r="AJ136">
        <v>33</v>
      </c>
      <c r="AK136">
        <v>8.3121212121212125</v>
      </c>
      <c r="AL136">
        <v>30134</v>
      </c>
      <c r="AM136">
        <v>0.18</v>
      </c>
      <c r="AN136">
        <v>0</v>
      </c>
      <c r="AO136">
        <v>0</v>
      </c>
      <c r="AP136">
        <v>0</v>
      </c>
      <c r="AQ136">
        <v>0</v>
      </c>
      <c r="AR136">
        <v>0</v>
      </c>
      <c r="AS136" t="s">
        <v>99</v>
      </c>
      <c r="AT136" t="s">
        <v>145</v>
      </c>
    </row>
    <row r="137" spans="1:46" x14ac:dyDescent="0.25">
      <c r="A137">
        <v>16</v>
      </c>
      <c r="B137" t="s">
        <v>15</v>
      </c>
      <c r="C137">
        <v>43</v>
      </c>
      <c r="D137">
        <v>66</v>
      </c>
      <c r="E137">
        <v>-23</v>
      </c>
      <c r="F137">
        <v>8</v>
      </c>
      <c r="G137">
        <v>82</v>
      </c>
      <c r="H137">
        <v>6</v>
      </c>
      <c r="I137">
        <v>41.2</v>
      </c>
      <c r="J137">
        <v>55.4</v>
      </c>
      <c r="K137">
        <v>1.7999999999999972</v>
      </c>
      <c r="L137">
        <v>430</v>
      </c>
      <c r="M137">
        <v>130</v>
      </c>
      <c r="N137">
        <v>6</v>
      </c>
      <c r="O137">
        <v>8</v>
      </c>
      <c r="P137">
        <v>38</v>
      </c>
      <c r="Q137">
        <v>7</v>
      </c>
      <c r="R137">
        <v>3</v>
      </c>
      <c r="S137">
        <v>53</v>
      </c>
      <c r="T137">
        <v>5</v>
      </c>
      <c r="U137">
        <v>2</v>
      </c>
      <c r="V137">
        <v>127</v>
      </c>
      <c r="W137">
        <v>815</v>
      </c>
      <c r="X137">
        <v>815</v>
      </c>
      <c r="Y137">
        <v>368</v>
      </c>
      <c r="Z137">
        <v>10366</v>
      </c>
      <c r="AA137">
        <v>30</v>
      </c>
      <c r="AB137">
        <v>160</v>
      </c>
      <c r="AC137">
        <v>653</v>
      </c>
      <c r="AD137">
        <v>161</v>
      </c>
      <c r="AE137">
        <v>39.5</v>
      </c>
      <c r="AF137">
        <v>46</v>
      </c>
      <c r="AG137">
        <v>31</v>
      </c>
      <c r="AH137">
        <v>29</v>
      </c>
      <c r="AI137">
        <v>479.05</v>
      </c>
      <c r="AJ137">
        <v>42</v>
      </c>
      <c r="AK137">
        <v>11.405952380952382</v>
      </c>
      <c r="AL137">
        <v>38446</v>
      </c>
      <c r="AM137">
        <v>0.25</v>
      </c>
      <c r="AN137">
        <v>0</v>
      </c>
      <c r="AO137">
        <v>0</v>
      </c>
      <c r="AP137">
        <v>0</v>
      </c>
      <c r="AQ137">
        <v>0</v>
      </c>
      <c r="AR137">
        <v>0</v>
      </c>
      <c r="AS137" t="s">
        <v>99</v>
      </c>
      <c r="AT137" t="s">
        <v>145</v>
      </c>
    </row>
    <row r="138" spans="1:46" x14ac:dyDescent="0.25">
      <c r="A138">
        <v>17</v>
      </c>
      <c r="B138" t="s">
        <v>13</v>
      </c>
      <c r="C138">
        <v>42</v>
      </c>
      <c r="D138">
        <v>79</v>
      </c>
      <c r="E138">
        <v>-37</v>
      </c>
      <c r="F138">
        <v>5</v>
      </c>
      <c r="G138">
        <v>101</v>
      </c>
      <c r="H138">
        <v>3</v>
      </c>
      <c r="I138">
        <v>44.4</v>
      </c>
      <c r="J138">
        <v>67.8</v>
      </c>
      <c r="K138">
        <v>-2.3999999999999986</v>
      </c>
      <c r="L138">
        <v>480</v>
      </c>
      <c r="M138">
        <v>142</v>
      </c>
      <c r="N138">
        <v>5</v>
      </c>
      <c r="O138">
        <v>4</v>
      </c>
      <c r="P138">
        <v>33</v>
      </c>
      <c r="Q138">
        <v>9</v>
      </c>
      <c r="R138">
        <v>0</v>
      </c>
      <c r="S138">
        <v>63</v>
      </c>
      <c r="T138">
        <v>1</v>
      </c>
      <c r="U138">
        <v>5</v>
      </c>
      <c r="V138">
        <v>146</v>
      </c>
      <c r="W138">
        <v>621</v>
      </c>
      <c r="X138">
        <v>621</v>
      </c>
      <c r="Y138">
        <v>469</v>
      </c>
      <c r="Z138">
        <v>13989</v>
      </c>
      <c r="AA138">
        <v>66</v>
      </c>
      <c r="AB138">
        <v>2306</v>
      </c>
      <c r="AC138">
        <v>648</v>
      </c>
      <c r="AD138">
        <v>170</v>
      </c>
      <c r="AE138">
        <v>61.05</v>
      </c>
      <c r="AF138">
        <v>0</v>
      </c>
      <c r="AG138">
        <v>14</v>
      </c>
      <c r="AH138">
        <v>14</v>
      </c>
      <c r="AI138">
        <v>299.45</v>
      </c>
      <c r="AJ138">
        <v>35</v>
      </c>
      <c r="AK138">
        <v>8.555714285714286</v>
      </c>
      <c r="AL138">
        <v>36308</v>
      </c>
      <c r="AM138">
        <v>-0.03</v>
      </c>
      <c r="AN138">
        <v>0</v>
      </c>
      <c r="AO138">
        <v>0</v>
      </c>
      <c r="AP138">
        <v>0</v>
      </c>
      <c r="AQ138">
        <v>0</v>
      </c>
      <c r="AR138">
        <v>0</v>
      </c>
      <c r="AS138" t="s">
        <v>99</v>
      </c>
      <c r="AT138" t="s">
        <v>145</v>
      </c>
    </row>
    <row r="139" spans="1:46" x14ac:dyDescent="0.25">
      <c r="A139">
        <v>18</v>
      </c>
      <c r="B139" t="s">
        <v>17</v>
      </c>
      <c r="C139">
        <v>34</v>
      </c>
      <c r="D139">
        <v>53</v>
      </c>
      <c r="E139">
        <v>-19</v>
      </c>
      <c r="F139">
        <v>9</v>
      </c>
      <c r="G139">
        <v>68</v>
      </c>
      <c r="H139">
        <v>2</v>
      </c>
      <c r="I139">
        <v>39.700000000000003</v>
      </c>
      <c r="J139">
        <v>57.1</v>
      </c>
      <c r="K139">
        <v>-5.7000000000000028</v>
      </c>
      <c r="L139">
        <v>405</v>
      </c>
      <c r="M139">
        <v>119</v>
      </c>
      <c r="N139">
        <v>1</v>
      </c>
      <c r="O139">
        <v>11</v>
      </c>
      <c r="P139">
        <v>30</v>
      </c>
      <c r="Q139">
        <v>4</v>
      </c>
      <c r="R139">
        <v>1</v>
      </c>
      <c r="S139">
        <v>101</v>
      </c>
      <c r="T139">
        <v>2</v>
      </c>
      <c r="U139">
        <v>5</v>
      </c>
      <c r="V139">
        <v>127</v>
      </c>
      <c r="W139">
        <v>887</v>
      </c>
      <c r="X139">
        <v>887</v>
      </c>
      <c r="Y139">
        <v>394</v>
      </c>
      <c r="Z139">
        <v>9454</v>
      </c>
      <c r="AA139">
        <v>32</v>
      </c>
      <c r="AB139">
        <v>1999</v>
      </c>
      <c r="AC139">
        <v>747</v>
      </c>
      <c r="AD139">
        <v>183</v>
      </c>
      <c r="AE139">
        <v>49.4</v>
      </c>
      <c r="AF139">
        <v>40.5</v>
      </c>
      <c r="AG139">
        <v>8</v>
      </c>
      <c r="AH139">
        <v>6</v>
      </c>
      <c r="AI139">
        <v>138.05000000000001</v>
      </c>
      <c r="AJ139">
        <v>35</v>
      </c>
      <c r="AK139">
        <v>3.9442857142857144</v>
      </c>
      <c r="AL139">
        <v>19278</v>
      </c>
      <c r="AM139">
        <v>0.06</v>
      </c>
      <c r="AN139">
        <v>0</v>
      </c>
      <c r="AO139">
        <v>0</v>
      </c>
      <c r="AP139">
        <v>0</v>
      </c>
      <c r="AQ139">
        <v>1</v>
      </c>
      <c r="AR139">
        <v>0</v>
      </c>
      <c r="AS139" t="s">
        <v>99</v>
      </c>
      <c r="AT139" t="s">
        <v>145</v>
      </c>
    </row>
    <row r="140" spans="1:46" x14ac:dyDescent="0.25">
      <c r="A140">
        <v>19</v>
      </c>
      <c r="B140" t="s">
        <v>18</v>
      </c>
      <c r="C140">
        <v>34</v>
      </c>
      <c r="D140">
        <v>77</v>
      </c>
      <c r="E140">
        <v>-43</v>
      </c>
      <c r="F140">
        <v>4</v>
      </c>
      <c r="G140">
        <v>63</v>
      </c>
      <c r="H140">
        <v>3</v>
      </c>
      <c r="I140">
        <v>40</v>
      </c>
      <c r="J140">
        <v>64.5</v>
      </c>
      <c r="K140">
        <v>-6</v>
      </c>
      <c r="L140">
        <v>397</v>
      </c>
      <c r="M140">
        <v>123</v>
      </c>
      <c r="N140">
        <v>1</v>
      </c>
      <c r="O140">
        <v>8</v>
      </c>
      <c r="P140">
        <v>34</v>
      </c>
      <c r="Q140">
        <v>0</v>
      </c>
      <c r="R140">
        <v>2</v>
      </c>
      <c r="S140">
        <v>53</v>
      </c>
      <c r="T140">
        <v>3</v>
      </c>
      <c r="U140">
        <v>7</v>
      </c>
      <c r="V140">
        <v>113</v>
      </c>
      <c r="W140">
        <v>899</v>
      </c>
      <c r="X140">
        <v>899</v>
      </c>
      <c r="Y140">
        <v>442</v>
      </c>
      <c r="Z140">
        <v>10423</v>
      </c>
      <c r="AA140">
        <v>35</v>
      </c>
      <c r="AB140">
        <v>2005</v>
      </c>
      <c r="AC140">
        <v>610</v>
      </c>
      <c r="AD140">
        <v>161</v>
      </c>
      <c r="AE140">
        <v>43.5</v>
      </c>
      <c r="AF140">
        <v>12.85</v>
      </c>
      <c r="AG140">
        <v>31</v>
      </c>
      <c r="AH140">
        <v>29</v>
      </c>
      <c r="AI140">
        <v>156.19999999999999</v>
      </c>
      <c r="AJ140">
        <v>47</v>
      </c>
      <c r="AK140">
        <v>3.3234042553191485</v>
      </c>
      <c r="AL140">
        <v>20614</v>
      </c>
      <c r="AM140">
        <v>-0.1</v>
      </c>
      <c r="AN140">
        <v>0</v>
      </c>
      <c r="AO140">
        <v>1</v>
      </c>
      <c r="AP140">
        <v>0</v>
      </c>
      <c r="AQ140">
        <v>1</v>
      </c>
      <c r="AR140">
        <v>0</v>
      </c>
      <c r="AS140" t="s">
        <v>99</v>
      </c>
      <c r="AT140" t="s">
        <v>145</v>
      </c>
    </row>
    <row r="141" spans="1:46" x14ac:dyDescent="0.25">
      <c r="A141">
        <v>20</v>
      </c>
      <c r="B141" t="s">
        <v>19</v>
      </c>
      <c r="C141">
        <v>23</v>
      </c>
      <c r="D141">
        <v>84</v>
      </c>
      <c r="E141">
        <v>-61</v>
      </c>
      <c r="F141">
        <v>6</v>
      </c>
      <c r="G141">
        <v>57</v>
      </c>
      <c r="H141">
        <v>1</v>
      </c>
      <c r="I141">
        <v>32.299999999999997</v>
      </c>
      <c r="J141">
        <v>75.5</v>
      </c>
      <c r="K141">
        <v>-9.2999999999999972</v>
      </c>
      <c r="L141">
        <v>370</v>
      </c>
      <c r="M141">
        <v>104</v>
      </c>
      <c r="N141">
        <v>3</v>
      </c>
      <c r="O141">
        <v>5</v>
      </c>
      <c r="P141">
        <v>20</v>
      </c>
      <c r="Q141">
        <v>3</v>
      </c>
      <c r="R141">
        <v>1</v>
      </c>
      <c r="S141">
        <v>55</v>
      </c>
      <c r="T141">
        <v>2</v>
      </c>
      <c r="U141">
        <v>12</v>
      </c>
      <c r="V141">
        <v>139</v>
      </c>
      <c r="W141">
        <v>860</v>
      </c>
      <c r="X141">
        <v>860</v>
      </c>
      <c r="Y141">
        <v>356</v>
      </c>
      <c r="Z141">
        <v>12164</v>
      </c>
      <c r="AA141">
        <v>50</v>
      </c>
      <c r="AB141">
        <v>2289</v>
      </c>
      <c r="AC141">
        <v>568</v>
      </c>
      <c r="AD141">
        <v>165</v>
      </c>
      <c r="AE141">
        <v>63.55</v>
      </c>
      <c r="AF141">
        <v>38.4</v>
      </c>
      <c r="AG141">
        <v>32</v>
      </c>
      <c r="AH141">
        <v>31</v>
      </c>
      <c r="AI141">
        <v>163.19999999999999</v>
      </c>
      <c r="AJ141">
        <v>45</v>
      </c>
      <c r="AK141">
        <v>3.6266666666666665</v>
      </c>
      <c r="AL141">
        <v>26836</v>
      </c>
      <c r="AM141">
        <v>0.01</v>
      </c>
      <c r="AN141">
        <v>0</v>
      </c>
      <c r="AO141">
        <v>1</v>
      </c>
      <c r="AP141">
        <v>0</v>
      </c>
      <c r="AQ141">
        <v>1</v>
      </c>
      <c r="AR141">
        <v>0</v>
      </c>
      <c r="AS141" t="s">
        <v>99</v>
      </c>
      <c r="AT141" t="s">
        <v>145</v>
      </c>
    </row>
    <row r="142" spans="1:46" x14ac:dyDescent="0.25">
      <c r="A142">
        <v>1</v>
      </c>
      <c r="B142" t="s">
        <v>25</v>
      </c>
      <c r="C142">
        <v>94</v>
      </c>
      <c r="D142">
        <v>33</v>
      </c>
      <c r="E142">
        <v>61</v>
      </c>
      <c r="F142">
        <v>13</v>
      </c>
      <c r="G142">
        <v>44</v>
      </c>
      <c r="H142">
        <v>1</v>
      </c>
      <c r="I142">
        <v>78.7</v>
      </c>
      <c r="J142">
        <v>32.1</v>
      </c>
      <c r="K142">
        <v>15.299999999999997</v>
      </c>
      <c r="L142">
        <v>590</v>
      </c>
      <c r="M142">
        <v>205</v>
      </c>
      <c r="N142">
        <v>9</v>
      </c>
      <c r="O142">
        <v>12</v>
      </c>
      <c r="P142">
        <v>82</v>
      </c>
      <c r="Q142">
        <v>13</v>
      </c>
      <c r="R142">
        <v>7</v>
      </c>
      <c r="S142">
        <v>51</v>
      </c>
      <c r="T142">
        <v>1</v>
      </c>
      <c r="U142">
        <v>3</v>
      </c>
      <c r="V142">
        <v>60</v>
      </c>
      <c r="W142">
        <v>391</v>
      </c>
      <c r="X142">
        <v>272</v>
      </c>
      <c r="Y142">
        <v>347</v>
      </c>
      <c r="Z142">
        <v>25072</v>
      </c>
      <c r="AA142">
        <v>94</v>
      </c>
      <c r="AB142">
        <v>4236</v>
      </c>
      <c r="AC142">
        <v>742</v>
      </c>
      <c r="AD142">
        <v>238</v>
      </c>
      <c r="AE142">
        <v>155</v>
      </c>
      <c r="AF142">
        <v>162.16999999999999</v>
      </c>
      <c r="AG142">
        <v>29</v>
      </c>
      <c r="AH142">
        <v>24</v>
      </c>
      <c r="AI142">
        <v>1150</v>
      </c>
      <c r="AJ142">
        <v>34</v>
      </c>
      <c r="AK142">
        <v>33.823529411764703</v>
      </c>
      <c r="AL142">
        <v>53249</v>
      </c>
      <c r="AM142">
        <v>0.13</v>
      </c>
      <c r="AN142">
        <v>1</v>
      </c>
      <c r="AO142">
        <v>0</v>
      </c>
      <c r="AP142">
        <v>1</v>
      </c>
      <c r="AQ142">
        <v>0</v>
      </c>
      <c r="AR142">
        <v>1</v>
      </c>
      <c r="AS142" t="s">
        <v>100</v>
      </c>
      <c r="AT142" t="s">
        <v>146</v>
      </c>
    </row>
    <row r="143" spans="1:46" x14ac:dyDescent="0.25">
      <c r="A143">
        <v>2</v>
      </c>
      <c r="B143" t="s">
        <v>6</v>
      </c>
      <c r="C143">
        <v>88</v>
      </c>
      <c r="D143">
        <v>43</v>
      </c>
      <c r="E143">
        <v>45</v>
      </c>
      <c r="F143">
        <v>14</v>
      </c>
      <c r="G143">
        <v>51</v>
      </c>
      <c r="H143">
        <v>0</v>
      </c>
      <c r="I143">
        <v>71.900000000000006</v>
      </c>
      <c r="J143">
        <v>42</v>
      </c>
      <c r="K143">
        <v>16.099999999999994</v>
      </c>
      <c r="L143">
        <v>589</v>
      </c>
      <c r="M143">
        <v>194</v>
      </c>
      <c r="N143">
        <v>3</v>
      </c>
      <c r="O143">
        <v>12</v>
      </c>
      <c r="P143">
        <v>79</v>
      </c>
      <c r="Q143">
        <v>9</v>
      </c>
      <c r="R143">
        <v>4</v>
      </c>
      <c r="S143">
        <v>56</v>
      </c>
      <c r="T143">
        <v>1</v>
      </c>
      <c r="U143">
        <v>5</v>
      </c>
      <c r="V143">
        <v>94</v>
      </c>
      <c r="W143">
        <v>567</v>
      </c>
      <c r="X143">
        <v>343</v>
      </c>
      <c r="Y143">
        <v>373</v>
      </c>
      <c r="Z143">
        <v>20450</v>
      </c>
      <c r="AA143">
        <v>86</v>
      </c>
      <c r="AB143">
        <v>3031</v>
      </c>
      <c r="AC143">
        <v>674</v>
      </c>
      <c r="AD143">
        <v>223</v>
      </c>
      <c r="AE143">
        <v>191.9</v>
      </c>
      <c r="AF143">
        <v>23.8</v>
      </c>
      <c r="AG143">
        <v>25</v>
      </c>
      <c r="AH143">
        <v>18</v>
      </c>
      <c r="AI143">
        <v>1000</v>
      </c>
      <c r="AJ143">
        <v>42</v>
      </c>
      <c r="AK143">
        <v>23.80952380952381</v>
      </c>
      <c r="AL143">
        <v>60191</v>
      </c>
      <c r="AM143">
        <v>0.02</v>
      </c>
      <c r="AN143">
        <v>1</v>
      </c>
      <c r="AO143">
        <v>0</v>
      </c>
      <c r="AP143">
        <v>1</v>
      </c>
      <c r="AQ143">
        <v>0</v>
      </c>
      <c r="AR143">
        <v>1</v>
      </c>
      <c r="AS143" t="s">
        <v>100</v>
      </c>
      <c r="AT143" t="s">
        <v>146</v>
      </c>
    </row>
    <row r="144" spans="1:46" x14ac:dyDescent="0.25">
      <c r="A144">
        <v>3</v>
      </c>
      <c r="B144" t="s">
        <v>4</v>
      </c>
      <c r="C144">
        <v>58</v>
      </c>
      <c r="D144">
        <v>43</v>
      </c>
      <c r="E144">
        <v>15</v>
      </c>
      <c r="F144">
        <v>17</v>
      </c>
      <c r="G144">
        <v>78</v>
      </c>
      <c r="H144">
        <v>2</v>
      </c>
      <c r="I144">
        <v>67.7</v>
      </c>
      <c r="J144">
        <v>50.4</v>
      </c>
      <c r="K144">
        <v>-9.7000000000000028</v>
      </c>
      <c r="L144">
        <v>590</v>
      </c>
      <c r="M144">
        <v>206</v>
      </c>
      <c r="N144">
        <v>3</v>
      </c>
      <c r="O144">
        <v>7</v>
      </c>
      <c r="P144">
        <v>53</v>
      </c>
      <c r="Q144">
        <v>5</v>
      </c>
      <c r="R144">
        <v>10</v>
      </c>
      <c r="S144">
        <v>79</v>
      </c>
      <c r="T144">
        <v>1</v>
      </c>
      <c r="U144">
        <v>3</v>
      </c>
      <c r="V144">
        <v>99</v>
      </c>
      <c r="W144">
        <v>734</v>
      </c>
      <c r="X144">
        <v>400</v>
      </c>
      <c r="Y144">
        <v>424</v>
      </c>
      <c r="Z144">
        <v>19086</v>
      </c>
      <c r="AA144">
        <v>105</v>
      </c>
      <c r="AB144">
        <v>3148</v>
      </c>
      <c r="AC144">
        <v>517</v>
      </c>
      <c r="AD144">
        <v>196</v>
      </c>
      <c r="AE144">
        <v>243.28</v>
      </c>
      <c r="AF144">
        <v>23.65</v>
      </c>
      <c r="AG144">
        <v>25</v>
      </c>
      <c r="AH144">
        <v>20</v>
      </c>
      <c r="AI144">
        <v>848</v>
      </c>
      <c r="AJ144">
        <v>48</v>
      </c>
      <c r="AK144">
        <v>17.666666666666668</v>
      </c>
      <c r="AL144">
        <v>73671</v>
      </c>
      <c r="AM144">
        <v>0.39</v>
      </c>
      <c r="AN144">
        <v>1</v>
      </c>
      <c r="AO144">
        <v>0</v>
      </c>
      <c r="AP144">
        <v>1</v>
      </c>
      <c r="AQ144">
        <v>0</v>
      </c>
      <c r="AR144">
        <v>1</v>
      </c>
      <c r="AS144" t="s">
        <v>100</v>
      </c>
      <c r="AT144" t="s">
        <v>146</v>
      </c>
    </row>
    <row r="145" spans="1:46" x14ac:dyDescent="0.25">
      <c r="A145">
        <v>4</v>
      </c>
      <c r="B145" t="s">
        <v>12</v>
      </c>
      <c r="C145">
        <v>68</v>
      </c>
      <c r="D145">
        <v>33</v>
      </c>
      <c r="E145">
        <v>35</v>
      </c>
      <c r="F145">
        <v>14</v>
      </c>
      <c r="G145">
        <v>61</v>
      </c>
      <c r="H145">
        <v>1</v>
      </c>
      <c r="I145">
        <v>72</v>
      </c>
      <c r="J145">
        <v>39.6</v>
      </c>
      <c r="K145">
        <v>-4</v>
      </c>
      <c r="L145">
        <v>565</v>
      </c>
      <c r="M145">
        <v>184</v>
      </c>
      <c r="N145">
        <v>6</v>
      </c>
      <c r="O145">
        <v>10</v>
      </c>
      <c r="P145">
        <v>56</v>
      </c>
      <c r="Q145">
        <v>14</v>
      </c>
      <c r="R145">
        <v>5</v>
      </c>
      <c r="S145">
        <v>71</v>
      </c>
      <c r="T145">
        <v>2</v>
      </c>
      <c r="U145">
        <v>5</v>
      </c>
      <c r="V145">
        <v>94</v>
      </c>
      <c r="W145">
        <v>646</v>
      </c>
      <c r="X145">
        <v>360</v>
      </c>
      <c r="Y145">
        <v>406</v>
      </c>
      <c r="Z145">
        <v>16052</v>
      </c>
      <c r="AA145">
        <v>88</v>
      </c>
      <c r="AB145">
        <v>2266</v>
      </c>
      <c r="AC145">
        <v>740</v>
      </c>
      <c r="AD145">
        <v>270</v>
      </c>
      <c r="AE145">
        <v>185.35</v>
      </c>
      <c r="AF145">
        <v>14.06</v>
      </c>
      <c r="AG145">
        <v>17</v>
      </c>
      <c r="AH145">
        <v>13</v>
      </c>
      <c r="AI145">
        <v>541.6</v>
      </c>
      <c r="AJ145">
        <v>38</v>
      </c>
      <c r="AK145">
        <v>20.816666666666666</v>
      </c>
      <c r="AL145">
        <v>52127</v>
      </c>
      <c r="AM145">
        <v>0.11</v>
      </c>
      <c r="AN145">
        <v>0</v>
      </c>
      <c r="AO145">
        <v>0</v>
      </c>
      <c r="AP145">
        <v>1</v>
      </c>
      <c r="AQ145">
        <v>0</v>
      </c>
      <c r="AR145">
        <v>0</v>
      </c>
      <c r="AS145" t="s">
        <v>100</v>
      </c>
      <c r="AT145" t="s">
        <v>146</v>
      </c>
    </row>
    <row r="146" spans="1:46" x14ac:dyDescent="0.25">
      <c r="A146">
        <v>5</v>
      </c>
      <c r="B146" t="s">
        <v>1</v>
      </c>
      <c r="C146">
        <v>75</v>
      </c>
      <c r="D146">
        <v>47</v>
      </c>
      <c r="E146">
        <v>28</v>
      </c>
      <c r="F146">
        <v>14</v>
      </c>
      <c r="G146">
        <v>57</v>
      </c>
      <c r="H146">
        <v>1</v>
      </c>
      <c r="I146">
        <v>72.599999999999994</v>
      </c>
      <c r="J146">
        <v>50.9</v>
      </c>
      <c r="K146">
        <v>2.4000000000000057</v>
      </c>
      <c r="L146">
        <v>601</v>
      </c>
      <c r="M146">
        <v>203</v>
      </c>
      <c r="N146">
        <v>2</v>
      </c>
      <c r="O146">
        <v>13</v>
      </c>
      <c r="P146">
        <v>67</v>
      </c>
      <c r="Q146">
        <v>8</v>
      </c>
      <c r="R146">
        <v>7</v>
      </c>
      <c r="S146">
        <v>84</v>
      </c>
      <c r="T146">
        <v>2</v>
      </c>
      <c r="U146">
        <v>4</v>
      </c>
      <c r="V146">
        <v>111</v>
      </c>
      <c r="W146">
        <v>540</v>
      </c>
      <c r="X146">
        <v>370</v>
      </c>
      <c r="Y146">
        <v>405</v>
      </c>
      <c r="Z146">
        <v>22401</v>
      </c>
      <c r="AA146">
        <v>103</v>
      </c>
      <c r="AB146">
        <v>3416</v>
      </c>
      <c r="AC146">
        <v>799</v>
      </c>
      <c r="AD146">
        <v>235</v>
      </c>
      <c r="AE146">
        <v>137.30000000000001</v>
      </c>
      <c r="AF146">
        <v>80.7</v>
      </c>
      <c r="AG146">
        <v>8</v>
      </c>
      <c r="AH146">
        <v>11</v>
      </c>
      <c r="AI146">
        <v>811.85</v>
      </c>
      <c r="AJ146">
        <v>39</v>
      </c>
      <c r="AK146">
        <v>19.091176470588238</v>
      </c>
      <c r="AL146">
        <v>53163</v>
      </c>
      <c r="AM146">
        <v>0.26</v>
      </c>
      <c r="AN146">
        <v>1</v>
      </c>
      <c r="AO146">
        <v>0</v>
      </c>
      <c r="AP146">
        <v>0</v>
      </c>
      <c r="AQ146">
        <v>0</v>
      </c>
      <c r="AR146">
        <v>1</v>
      </c>
      <c r="AS146" t="s">
        <v>100</v>
      </c>
      <c r="AT146" t="s">
        <v>146</v>
      </c>
    </row>
    <row r="147" spans="1:46" x14ac:dyDescent="0.25">
      <c r="A147">
        <v>6</v>
      </c>
      <c r="B147" t="s">
        <v>14</v>
      </c>
      <c r="C147">
        <v>72</v>
      </c>
      <c r="D147">
        <v>53</v>
      </c>
      <c r="E147">
        <v>19</v>
      </c>
      <c r="F147">
        <v>12</v>
      </c>
      <c r="G147">
        <v>58</v>
      </c>
      <c r="H147">
        <v>0</v>
      </c>
      <c r="I147">
        <v>73.3</v>
      </c>
      <c r="J147">
        <v>50.2</v>
      </c>
      <c r="K147">
        <v>-1.2999999999999972</v>
      </c>
      <c r="L147">
        <v>607</v>
      </c>
      <c r="M147">
        <v>219</v>
      </c>
      <c r="N147">
        <v>6</v>
      </c>
      <c r="O147">
        <v>10</v>
      </c>
      <c r="P147">
        <v>63</v>
      </c>
      <c r="Q147">
        <v>9</v>
      </c>
      <c r="R147">
        <v>3</v>
      </c>
      <c r="S147">
        <v>70</v>
      </c>
      <c r="T147">
        <v>6</v>
      </c>
      <c r="U147">
        <v>8</v>
      </c>
      <c r="V147">
        <v>82</v>
      </c>
      <c r="W147">
        <v>412</v>
      </c>
      <c r="X147">
        <v>340</v>
      </c>
      <c r="Y147">
        <v>427</v>
      </c>
      <c r="Z147">
        <v>21280</v>
      </c>
      <c r="AA147">
        <v>81</v>
      </c>
      <c r="AB147">
        <v>3374</v>
      </c>
      <c r="AC147">
        <v>694</v>
      </c>
      <c r="AD147">
        <v>233</v>
      </c>
      <c r="AE147">
        <v>55.7</v>
      </c>
      <c r="AF147">
        <v>137.9</v>
      </c>
      <c r="AG147">
        <v>21</v>
      </c>
      <c r="AH147">
        <v>23</v>
      </c>
      <c r="AI147">
        <v>529.83000000000004</v>
      </c>
      <c r="AJ147">
        <v>42</v>
      </c>
      <c r="AK147">
        <v>14.252631578947369</v>
      </c>
      <c r="AL147">
        <v>31477</v>
      </c>
      <c r="AM147">
        <v>0.12</v>
      </c>
      <c r="AN147">
        <v>0</v>
      </c>
      <c r="AO147">
        <v>0</v>
      </c>
      <c r="AP147">
        <v>0</v>
      </c>
      <c r="AQ147">
        <v>0</v>
      </c>
      <c r="AR147">
        <v>0</v>
      </c>
      <c r="AS147" t="s">
        <v>100</v>
      </c>
      <c r="AT147" t="s">
        <v>146</v>
      </c>
    </row>
    <row r="148" spans="1:46" x14ac:dyDescent="0.25">
      <c r="A148">
        <v>7</v>
      </c>
      <c r="B148" t="s">
        <v>8</v>
      </c>
      <c r="C148">
        <v>51</v>
      </c>
      <c r="D148">
        <v>46</v>
      </c>
      <c r="E148">
        <v>5</v>
      </c>
      <c r="F148">
        <v>12</v>
      </c>
      <c r="G148">
        <v>80</v>
      </c>
      <c r="H148">
        <v>1</v>
      </c>
      <c r="I148">
        <v>50.2</v>
      </c>
      <c r="J148">
        <v>52.5</v>
      </c>
      <c r="K148">
        <v>0.79999999999999716</v>
      </c>
      <c r="L148">
        <v>427</v>
      </c>
      <c r="M148">
        <v>145</v>
      </c>
      <c r="N148">
        <v>3</v>
      </c>
      <c r="O148">
        <v>6</v>
      </c>
      <c r="P148">
        <v>44</v>
      </c>
      <c r="Q148">
        <v>7</v>
      </c>
      <c r="R148">
        <v>5</v>
      </c>
      <c r="S148">
        <v>58</v>
      </c>
      <c r="T148">
        <v>4</v>
      </c>
      <c r="U148">
        <v>6</v>
      </c>
      <c r="V148">
        <v>108</v>
      </c>
      <c r="W148">
        <v>663</v>
      </c>
      <c r="X148">
        <v>338</v>
      </c>
      <c r="Y148">
        <v>417</v>
      </c>
      <c r="Z148">
        <v>15940</v>
      </c>
      <c r="AA148">
        <v>54</v>
      </c>
      <c r="AB148">
        <v>2576</v>
      </c>
      <c r="AC148">
        <v>561</v>
      </c>
      <c r="AD148">
        <v>163</v>
      </c>
      <c r="AE148">
        <v>100.14</v>
      </c>
      <c r="AF148">
        <v>54</v>
      </c>
      <c r="AG148">
        <v>23</v>
      </c>
      <c r="AH148">
        <v>22</v>
      </c>
      <c r="AI148">
        <v>509.55</v>
      </c>
      <c r="AJ148">
        <v>43</v>
      </c>
      <c r="AK148">
        <v>11.85</v>
      </c>
      <c r="AL148">
        <v>39485</v>
      </c>
      <c r="AM148">
        <v>0.19</v>
      </c>
      <c r="AN148">
        <v>0</v>
      </c>
      <c r="AO148">
        <v>0</v>
      </c>
      <c r="AP148">
        <v>0</v>
      </c>
      <c r="AQ148">
        <v>0</v>
      </c>
      <c r="AR148">
        <v>0</v>
      </c>
      <c r="AS148" t="s">
        <v>100</v>
      </c>
      <c r="AT148" t="s">
        <v>146</v>
      </c>
    </row>
    <row r="149" spans="1:46" x14ac:dyDescent="0.25">
      <c r="A149">
        <v>8</v>
      </c>
      <c r="B149" t="s">
        <v>3</v>
      </c>
      <c r="C149">
        <v>70</v>
      </c>
      <c r="D149">
        <v>63</v>
      </c>
      <c r="E149">
        <v>7</v>
      </c>
      <c r="F149">
        <v>10</v>
      </c>
      <c r="G149">
        <v>77</v>
      </c>
      <c r="H149">
        <v>3</v>
      </c>
      <c r="I149">
        <v>57.1</v>
      </c>
      <c r="J149">
        <v>49.7</v>
      </c>
      <c r="K149">
        <v>12.899999999999999</v>
      </c>
      <c r="L149">
        <v>512</v>
      </c>
      <c r="M149">
        <v>186</v>
      </c>
      <c r="N149">
        <v>5</v>
      </c>
      <c r="O149">
        <v>15</v>
      </c>
      <c r="P149">
        <v>60</v>
      </c>
      <c r="Q149">
        <v>10</v>
      </c>
      <c r="R149">
        <v>4</v>
      </c>
      <c r="S149">
        <v>67</v>
      </c>
      <c r="T149">
        <v>1</v>
      </c>
      <c r="U149">
        <v>4</v>
      </c>
      <c r="V149">
        <v>109</v>
      </c>
      <c r="W149">
        <v>725</v>
      </c>
      <c r="X149">
        <v>353</v>
      </c>
      <c r="Y149">
        <v>424</v>
      </c>
      <c r="Z149">
        <v>18042</v>
      </c>
      <c r="AA149">
        <v>74</v>
      </c>
      <c r="AB149">
        <v>2662</v>
      </c>
      <c r="AC149">
        <v>719</v>
      </c>
      <c r="AD149">
        <v>203</v>
      </c>
      <c r="AE149">
        <v>177.9</v>
      </c>
      <c r="AF149">
        <v>38.75</v>
      </c>
      <c r="AG149">
        <v>15</v>
      </c>
      <c r="AH149">
        <v>14</v>
      </c>
      <c r="AI149">
        <v>649.1</v>
      </c>
      <c r="AJ149">
        <v>34</v>
      </c>
      <c r="AK149">
        <v>19.091176470588238</v>
      </c>
      <c r="AL149">
        <v>61585</v>
      </c>
      <c r="AM149">
        <v>0.13</v>
      </c>
      <c r="AN149">
        <v>1</v>
      </c>
      <c r="AO149">
        <v>0</v>
      </c>
      <c r="AP149">
        <v>0</v>
      </c>
      <c r="AQ149">
        <v>0</v>
      </c>
      <c r="AR149">
        <v>1</v>
      </c>
      <c r="AS149" t="s">
        <v>100</v>
      </c>
      <c r="AT149" t="s">
        <v>146</v>
      </c>
    </row>
    <row r="150" spans="1:46" x14ac:dyDescent="0.25">
      <c r="A150">
        <v>9</v>
      </c>
      <c r="B150" t="s">
        <v>10</v>
      </c>
      <c r="C150">
        <v>58</v>
      </c>
      <c r="D150">
        <v>46</v>
      </c>
      <c r="E150">
        <v>12</v>
      </c>
      <c r="F150">
        <v>12</v>
      </c>
      <c r="G150">
        <v>57</v>
      </c>
      <c r="H150">
        <v>1</v>
      </c>
      <c r="I150">
        <v>56.8</v>
      </c>
      <c r="J150">
        <v>49.9</v>
      </c>
      <c r="K150">
        <v>1.2000000000000028</v>
      </c>
      <c r="L150">
        <v>400</v>
      </c>
      <c r="M150">
        <v>147</v>
      </c>
      <c r="N150">
        <v>7</v>
      </c>
      <c r="O150">
        <v>10</v>
      </c>
      <c r="P150">
        <v>52</v>
      </c>
      <c r="Q150">
        <v>6</v>
      </c>
      <c r="R150">
        <v>6</v>
      </c>
      <c r="S150">
        <v>72</v>
      </c>
      <c r="T150">
        <v>3</v>
      </c>
      <c r="U150">
        <v>2</v>
      </c>
      <c r="V150">
        <v>154</v>
      </c>
      <c r="W150">
        <v>770</v>
      </c>
      <c r="X150">
        <v>337</v>
      </c>
      <c r="Y150">
        <v>354</v>
      </c>
      <c r="Z150">
        <v>13920</v>
      </c>
      <c r="AA150">
        <v>53</v>
      </c>
      <c r="AB150">
        <v>2222</v>
      </c>
      <c r="AC150">
        <v>661</v>
      </c>
      <c r="AD150">
        <v>163</v>
      </c>
      <c r="AE150">
        <v>51.5</v>
      </c>
      <c r="AF150">
        <v>3.6</v>
      </c>
      <c r="AG150">
        <v>23</v>
      </c>
      <c r="AH150">
        <v>21</v>
      </c>
      <c r="AI150">
        <v>371.2</v>
      </c>
      <c r="AJ150">
        <v>36</v>
      </c>
      <c r="AK150">
        <v>10.31111111111111</v>
      </c>
      <c r="AL150">
        <v>17078</v>
      </c>
      <c r="AM150">
        <v>0.21</v>
      </c>
      <c r="AN150">
        <v>0</v>
      </c>
      <c r="AO150">
        <v>0</v>
      </c>
      <c r="AP150">
        <v>0</v>
      </c>
      <c r="AQ150">
        <v>0</v>
      </c>
      <c r="AR150">
        <v>0</v>
      </c>
      <c r="AS150" t="s">
        <v>100</v>
      </c>
      <c r="AT150" t="s">
        <v>146</v>
      </c>
    </row>
    <row r="151" spans="1:46" x14ac:dyDescent="0.25">
      <c r="A151">
        <v>10</v>
      </c>
      <c r="B151" t="s">
        <v>27</v>
      </c>
      <c r="C151">
        <v>55</v>
      </c>
      <c r="D151">
        <v>53</v>
      </c>
      <c r="E151">
        <v>2</v>
      </c>
      <c r="F151">
        <v>9</v>
      </c>
      <c r="G151">
        <v>80</v>
      </c>
      <c r="H151">
        <v>1</v>
      </c>
      <c r="I151">
        <v>46.2</v>
      </c>
      <c r="J151">
        <v>63.8</v>
      </c>
      <c r="K151">
        <v>8.7999999999999972</v>
      </c>
      <c r="L151">
        <v>420</v>
      </c>
      <c r="M151">
        <v>137</v>
      </c>
      <c r="N151">
        <v>5</v>
      </c>
      <c r="O151">
        <v>15</v>
      </c>
      <c r="P151">
        <v>50</v>
      </c>
      <c r="Q151">
        <v>6</v>
      </c>
      <c r="R151">
        <v>3</v>
      </c>
      <c r="S151">
        <v>60</v>
      </c>
      <c r="T151">
        <v>2</v>
      </c>
      <c r="U151">
        <v>8</v>
      </c>
      <c r="V151">
        <v>144</v>
      </c>
      <c r="W151">
        <v>714</v>
      </c>
      <c r="X151">
        <v>349</v>
      </c>
      <c r="Y151">
        <v>411</v>
      </c>
      <c r="Z151">
        <v>16197</v>
      </c>
      <c r="AA151">
        <v>20</v>
      </c>
      <c r="AB151">
        <v>2493</v>
      </c>
      <c r="AC151">
        <v>769</v>
      </c>
      <c r="AD151">
        <v>182</v>
      </c>
      <c r="AE151">
        <v>72.8</v>
      </c>
      <c r="AF151">
        <v>103.6</v>
      </c>
      <c r="AG151">
        <v>20</v>
      </c>
      <c r="AH151">
        <v>21</v>
      </c>
      <c r="AI151">
        <v>299.25</v>
      </c>
      <c r="AJ151">
        <v>47</v>
      </c>
      <c r="AK151">
        <v>6.3670212765957448</v>
      </c>
      <c r="AL151">
        <v>23746</v>
      </c>
      <c r="AM151">
        <v>0.01</v>
      </c>
      <c r="AN151">
        <v>0</v>
      </c>
      <c r="AO151">
        <v>1</v>
      </c>
      <c r="AP151">
        <v>0</v>
      </c>
      <c r="AQ151">
        <v>0</v>
      </c>
      <c r="AR151">
        <v>0</v>
      </c>
      <c r="AS151" t="s">
        <v>100</v>
      </c>
      <c r="AT151" t="s">
        <v>146</v>
      </c>
    </row>
    <row r="152" spans="1:46" x14ac:dyDescent="0.25">
      <c r="A152">
        <v>11</v>
      </c>
      <c r="B152" t="s">
        <v>9</v>
      </c>
      <c r="C152">
        <v>40</v>
      </c>
      <c r="D152">
        <v>49</v>
      </c>
      <c r="E152">
        <v>-9</v>
      </c>
      <c r="F152">
        <v>9</v>
      </c>
      <c r="G152">
        <v>82</v>
      </c>
      <c r="H152">
        <v>3</v>
      </c>
      <c r="I152">
        <v>39.299999999999997</v>
      </c>
      <c r="J152">
        <v>48.1</v>
      </c>
      <c r="K152">
        <v>0.70000000000000284</v>
      </c>
      <c r="L152">
        <v>423</v>
      </c>
      <c r="M152">
        <v>133</v>
      </c>
      <c r="N152">
        <v>1</v>
      </c>
      <c r="O152">
        <v>7</v>
      </c>
      <c r="P152">
        <v>35</v>
      </c>
      <c r="Q152">
        <v>5</v>
      </c>
      <c r="R152">
        <v>5</v>
      </c>
      <c r="S152">
        <v>58</v>
      </c>
      <c r="T152">
        <v>3</v>
      </c>
      <c r="U152">
        <v>4</v>
      </c>
      <c r="V152">
        <v>114</v>
      </c>
      <c r="W152">
        <v>788</v>
      </c>
      <c r="X152">
        <v>421</v>
      </c>
      <c r="Y152">
        <v>446</v>
      </c>
      <c r="Z152">
        <v>15707</v>
      </c>
      <c r="AA152">
        <v>41</v>
      </c>
      <c r="AB152">
        <v>2644</v>
      </c>
      <c r="AC152">
        <v>591</v>
      </c>
      <c r="AD152">
        <v>186</v>
      </c>
      <c r="AE152">
        <v>46.6</v>
      </c>
      <c r="AF152">
        <v>5.46</v>
      </c>
      <c r="AG152">
        <v>14</v>
      </c>
      <c r="AH152">
        <v>12</v>
      </c>
      <c r="AI152">
        <v>323.05</v>
      </c>
      <c r="AJ152">
        <v>39</v>
      </c>
      <c r="AK152">
        <v>8.2833333333333332</v>
      </c>
      <c r="AL152">
        <v>24952</v>
      </c>
      <c r="AM152">
        <v>0.15</v>
      </c>
      <c r="AN152">
        <v>0</v>
      </c>
      <c r="AO152">
        <v>0</v>
      </c>
      <c r="AP152">
        <v>0</v>
      </c>
      <c r="AQ152">
        <v>0</v>
      </c>
      <c r="AR152">
        <v>0</v>
      </c>
      <c r="AS152" t="s">
        <v>100</v>
      </c>
      <c r="AT152" t="s">
        <v>146</v>
      </c>
    </row>
    <row r="153" spans="1:46" x14ac:dyDescent="0.25">
      <c r="A153">
        <v>12</v>
      </c>
      <c r="B153" t="s">
        <v>2</v>
      </c>
      <c r="C153">
        <v>38</v>
      </c>
      <c r="D153">
        <v>47</v>
      </c>
      <c r="E153">
        <v>-9</v>
      </c>
      <c r="F153">
        <v>10</v>
      </c>
      <c r="G153">
        <v>81</v>
      </c>
      <c r="H153">
        <v>3</v>
      </c>
      <c r="I153">
        <v>49.5</v>
      </c>
      <c r="J153">
        <v>52.5</v>
      </c>
      <c r="K153">
        <v>-11.5</v>
      </c>
      <c r="L153">
        <v>481</v>
      </c>
      <c r="M153">
        <v>151</v>
      </c>
      <c r="N153">
        <v>3</v>
      </c>
      <c r="O153">
        <v>5</v>
      </c>
      <c r="P153">
        <v>33</v>
      </c>
      <c r="Q153">
        <v>6</v>
      </c>
      <c r="R153">
        <v>1</v>
      </c>
      <c r="S153">
        <v>74</v>
      </c>
      <c r="T153">
        <v>3</v>
      </c>
      <c r="U153">
        <v>1</v>
      </c>
      <c r="V153">
        <v>115</v>
      </c>
      <c r="W153">
        <v>628</v>
      </c>
      <c r="X153">
        <v>445</v>
      </c>
      <c r="Y153">
        <v>397</v>
      </c>
      <c r="Z153">
        <v>21149</v>
      </c>
      <c r="AA153">
        <v>58</v>
      </c>
      <c r="AB153">
        <v>3286</v>
      </c>
      <c r="AC153">
        <v>693</v>
      </c>
      <c r="AD153">
        <v>209</v>
      </c>
      <c r="AE153">
        <v>611.49</v>
      </c>
      <c r="AF153">
        <v>67.8</v>
      </c>
      <c r="AG153">
        <v>24</v>
      </c>
      <c r="AH153">
        <v>23</v>
      </c>
      <c r="AI153">
        <v>994.95</v>
      </c>
      <c r="AJ153">
        <v>43</v>
      </c>
      <c r="AK153">
        <v>23.138372093023257</v>
      </c>
      <c r="AL153">
        <v>40002</v>
      </c>
      <c r="AM153">
        <v>0.12</v>
      </c>
      <c r="AN153">
        <v>1</v>
      </c>
      <c r="AO153">
        <v>0</v>
      </c>
      <c r="AP153">
        <v>0</v>
      </c>
      <c r="AQ153">
        <v>0</v>
      </c>
      <c r="AR153">
        <v>1</v>
      </c>
      <c r="AS153" t="s">
        <v>100</v>
      </c>
      <c r="AT153" t="s">
        <v>146</v>
      </c>
    </row>
    <row r="154" spans="1:46" x14ac:dyDescent="0.25">
      <c r="A154">
        <v>13</v>
      </c>
      <c r="B154" t="s">
        <v>16</v>
      </c>
      <c r="C154">
        <v>31</v>
      </c>
      <c r="D154">
        <v>58</v>
      </c>
      <c r="E154">
        <v>-27</v>
      </c>
      <c r="F154">
        <v>11</v>
      </c>
      <c r="G154">
        <v>85</v>
      </c>
      <c r="H154">
        <v>6</v>
      </c>
      <c r="I154">
        <v>36.799999999999997</v>
      </c>
      <c r="J154">
        <v>59.9</v>
      </c>
      <c r="K154">
        <v>-5.7999999999999972</v>
      </c>
      <c r="L154">
        <v>409</v>
      </c>
      <c r="M154">
        <v>119</v>
      </c>
      <c r="N154">
        <v>3</v>
      </c>
      <c r="O154">
        <v>2</v>
      </c>
      <c r="P154">
        <v>28</v>
      </c>
      <c r="Q154">
        <v>4</v>
      </c>
      <c r="R154">
        <v>5</v>
      </c>
      <c r="S154">
        <v>62</v>
      </c>
      <c r="T154">
        <v>1</v>
      </c>
      <c r="U154">
        <v>4</v>
      </c>
      <c r="V154">
        <v>115</v>
      </c>
      <c r="W154">
        <v>780</v>
      </c>
      <c r="X154">
        <v>370</v>
      </c>
      <c r="Y154">
        <v>463</v>
      </c>
      <c r="Z154">
        <v>16712</v>
      </c>
      <c r="AA154">
        <v>49</v>
      </c>
      <c r="AB154">
        <v>2681</v>
      </c>
      <c r="AC154">
        <v>661</v>
      </c>
      <c r="AD154">
        <v>185</v>
      </c>
      <c r="AE154">
        <v>177.11</v>
      </c>
      <c r="AF154">
        <v>62.87</v>
      </c>
      <c r="AG154">
        <v>32</v>
      </c>
      <c r="AH154">
        <v>28</v>
      </c>
      <c r="AI154">
        <v>497.65</v>
      </c>
      <c r="AJ154">
        <v>43</v>
      </c>
      <c r="AK154">
        <v>11.573255813953487</v>
      </c>
      <c r="AL154">
        <v>31482</v>
      </c>
      <c r="AM154">
        <v>0.27</v>
      </c>
      <c r="AN154">
        <v>0</v>
      </c>
      <c r="AO154">
        <v>0</v>
      </c>
      <c r="AP154">
        <v>0</v>
      </c>
      <c r="AQ154">
        <v>0</v>
      </c>
      <c r="AR154">
        <v>0</v>
      </c>
      <c r="AS154" t="s">
        <v>100</v>
      </c>
      <c r="AT154" t="s">
        <v>146</v>
      </c>
    </row>
    <row r="155" spans="1:46" x14ac:dyDescent="0.25">
      <c r="A155">
        <v>14</v>
      </c>
      <c r="B155" t="s">
        <v>5</v>
      </c>
      <c r="C155">
        <v>42</v>
      </c>
      <c r="D155">
        <v>55</v>
      </c>
      <c r="E155">
        <v>-13</v>
      </c>
      <c r="F155">
        <v>9</v>
      </c>
      <c r="G155">
        <v>44</v>
      </c>
      <c r="H155">
        <v>0</v>
      </c>
      <c r="I155">
        <v>49.2</v>
      </c>
      <c r="J155">
        <v>53</v>
      </c>
      <c r="K155">
        <v>-7.2000000000000028</v>
      </c>
      <c r="L155">
        <v>466</v>
      </c>
      <c r="M155">
        <v>133</v>
      </c>
      <c r="N155">
        <v>6</v>
      </c>
      <c r="O155">
        <v>8</v>
      </c>
      <c r="P155">
        <v>34</v>
      </c>
      <c r="Q155">
        <v>8</v>
      </c>
      <c r="R155">
        <v>1</v>
      </c>
      <c r="S155">
        <v>62</v>
      </c>
      <c r="T155">
        <v>1</v>
      </c>
      <c r="U155">
        <v>6</v>
      </c>
      <c r="V155">
        <v>115</v>
      </c>
      <c r="W155">
        <v>779</v>
      </c>
      <c r="X155">
        <v>335</v>
      </c>
      <c r="Y155">
        <v>362</v>
      </c>
      <c r="Z155">
        <v>14638</v>
      </c>
      <c r="AA155">
        <v>41</v>
      </c>
      <c r="AB155">
        <v>2092</v>
      </c>
      <c r="AC155">
        <v>768</v>
      </c>
      <c r="AD155">
        <v>206</v>
      </c>
      <c r="AE155">
        <v>186.5</v>
      </c>
      <c r="AF155">
        <v>21.55</v>
      </c>
      <c r="AG155">
        <v>13</v>
      </c>
      <c r="AH155">
        <v>13</v>
      </c>
      <c r="AI155">
        <v>465.75</v>
      </c>
      <c r="AJ155">
        <v>44</v>
      </c>
      <c r="AK155">
        <v>10.585227272727273</v>
      </c>
      <c r="AL155">
        <v>62462</v>
      </c>
      <c r="AM155">
        <v>0.18</v>
      </c>
      <c r="AN155">
        <v>1</v>
      </c>
      <c r="AO155">
        <v>0</v>
      </c>
      <c r="AP155">
        <v>0</v>
      </c>
      <c r="AQ155">
        <v>0</v>
      </c>
      <c r="AR155">
        <v>0</v>
      </c>
      <c r="AS155" t="s">
        <v>100</v>
      </c>
      <c r="AT155" t="s">
        <v>146</v>
      </c>
    </row>
    <row r="156" spans="1:46" x14ac:dyDescent="0.25">
      <c r="A156">
        <v>15</v>
      </c>
      <c r="B156" t="s">
        <v>85</v>
      </c>
      <c r="C156">
        <v>37</v>
      </c>
      <c r="D156">
        <v>71</v>
      </c>
      <c r="E156">
        <v>-34</v>
      </c>
      <c r="F156">
        <v>8</v>
      </c>
      <c r="G156">
        <v>68</v>
      </c>
      <c r="H156">
        <v>0</v>
      </c>
      <c r="I156">
        <v>38.6</v>
      </c>
      <c r="J156">
        <v>63.9</v>
      </c>
      <c r="K156">
        <v>-1.6000000000000014</v>
      </c>
      <c r="L156">
        <v>358</v>
      </c>
      <c r="M156">
        <v>126</v>
      </c>
      <c r="N156">
        <v>0</v>
      </c>
      <c r="O156">
        <v>5</v>
      </c>
      <c r="P156">
        <v>34</v>
      </c>
      <c r="Q156">
        <v>3</v>
      </c>
      <c r="R156">
        <v>1</v>
      </c>
      <c r="S156">
        <v>38</v>
      </c>
      <c r="T156">
        <v>3</v>
      </c>
      <c r="U156">
        <v>7</v>
      </c>
      <c r="V156">
        <v>136</v>
      </c>
      <c r="W156">
        <v>971</v>
      </c>
      <c r="X156">
        <v>371</v>
      </c>
      <c r="Y156">
        <v>391</v>
      </c>
      <c r="Z156">
        <v>13931</v>
      </c>
      <c r="AA156">
        <v>49</v>
      </c>
      <c r="AB156">
        <v>2147</v>
      </c>
      <c r="AC156">
        <v>509</v>
      </c>
      <c r="AD156">
        <v>144</v>
      </c>
      <c r="AE156">
        <v>83.1</v>
      </c>
      <c r="AF156">
        <v>0</v>
      </c>
      <c r="AG156">
        <v>17</v>
      </c>
      <c r="AH156">
        <v>13</v>
      </c>
      <c r="AI156">
        <v>287.2</v>
      </c>
      <c r="AJ156">
        <v>47</v>
      </c>
      <c r="AK156">
        <v>6.1106382978723399</v>
      </c>
      <c r="AL156">
        <v>10362</v>
      </c>
      <c r="AM156">
        <v>0.15</v>
      </c>
      <c r="AN156">
        <v>0</v>
      </c>
      <c r="AO156">
        <v>1</v>
      </c>
      <c r="AP156">
        <v>0</v>
      </c>
      <c r="AQ156">
        <v>0</v>
      </c>
      <c r="AR156">
        <v>0</v>
      </c>
      <c r="AS156" t="s">
        <v>100</v>
      </c>
      <c r="AT156" t="s">
        <v>146</v>
      </c>
    </row>
    <row r="157" spans="1:46" x14ac:dyDescent="0.25">
      <c r="A157">
        <v>16</v>
      </c>
      <c r="B157" t="s">
        <v>91</v>
      </c>
      <c r="C157">
        <v>38</v>
      </c>
      <c r="D157">
        <v>68</v>
      </c>
      <c r="E157">
        <v>-30</v>
      </c>
      <c r="F157">
        <v>8</v>
      </c>
      <c r="G157">
        <v>84</v>
      </c>
      <c r="H157">
        <v>0</v>
      </c>
      <c r="I157">
        <v>39.299999999999997</v>
      </c>
      <c r="J157">
        <v>64.2</v>
      </c>
      <c r="K157">
        <v>-1.2999999999999972</v>
      </c>
      <c r="L157">
        <v>362</v>
      </c>
      <c r="M157">
        <v>111</v>
      </c>
      <c r="N157">
        <v>3</v>
      </c>
      <c r="O157">
        <v>7</v>
      </c>
      <c r="P157">
        <v>36</v>
      </c>
      <c r="Q157">
        <v>2</v>
      </c>
      <c r="R157">
        <v>3</v>
      </c>
      <c r="S157">
        <v>67</v>
      </c>
      <c r="T157">
        <v>0</v>
      </c>
      <c r="U157">
        <v>9</v>
      </c>
      <c r="V157">
        <v>112</v>
      </c>
      <c r="W157">
        <v>892</v>
      </c>
      <c r="X157">
        <v>387</v>
      </c>
      <c r="Y157">
        <v>445</v>
      </c>
      <c r="Z157">
        <v>12091</v>
      </c>
      <c r="AA157">
        <v>31</v>
      </c>
      <c r="AB157">
        <v>1763</v>
      </c>
      <c r="AC157">
        <v>530</v>
      </c>
      <c r="AD157">
        <v>128</v>
      </c>
      <c r="AE157">
        <v>195.25</v>
      </c>
      <c r="AF157">
        <v>5</v>
      </c>
      <c r="AG157">
        <v>41</v>
      </c>
      <c r="AH157">
        <v>26</v>
      </c>
      <c r="AI157">
        <v>376.25</v>
      </c>
      <c r="AJ157">
        <v>50</v>
      </c>
      <c r="AK157">
        <v>7.5250000000000004</v>
      </c>
      <c r="AL157">
        <v>29188</v>
      </c>
      <c r="AM157">
        <v>0.06</v>
      </c>
      <c r="AN157">
        <v>0</v>
      </c>
      <c r="AO157">
        <v>1</v>
      </c>
      <c r="AP157">
        <v>0</v>
      </c>
      <c r="AQ157">
        <v>0</v>
      </c>
      <c r="AR157">
        <v>0</v>
      </c>
      <c r="AS157" t="s">
        <v>100</v>
      </c>
      <c r="AT157" t="s">
        <v>146</v>
      </c>
    </row>
    <row r="158" spans="1:46" x14ac:dyDescent="0.25">
      <c r="A158">
        <v>17</v>
      </c>
      <c r="B158" t="s">
        <v>15</v>
      </c>
      <c r="C158">
        <v>34</v>
      </c>
      <c r="D158">
        <v>57</v>
      </c>
      <c r="E158">
        <v>-23</v>
      </c>
      <c r="F158">
        <v>9</v>
      </c>
      <c r="G158">
        <v>81</v>
      </c>
      <c r="H158">
        <v>2</v>
      </c>
      <c r="I158">
        <v>45.2</v>
      </c>
      <c r="J158">
        <v>65.7</v>
      </c>
      <c r="K158">
        <v>-11.200000000000003</v>
      </c>
      <c r="L158">
        <v>426</v>
      </c>
      <c r="M158">
        <v>143</v>
      </c>
      <c r="N158">
        <v>3</v>
      </c>
      <c r="O158">
        <v>5</v>
      </c>
      <c r="P158">
        <v>29</v>
      </c>
      <c r="Q158">
        <v>6</v>
      </c>
      <c r="R158">
        <v>4</v>
      </c>
      <c r="S158">
        <v>64</v>
      </c>
      <c r="T158">
        <v>0</v>
      </c>
      <c r="U158">
        <v>6</v>
      </c>
      <c r="V158">
        <v>127</v>
      </c>
      <c r="W158">
        <v>829</v>
      </c>
      <c r="X158">
        <v>424</v>
      </c>
      <c r="Y158">
        <v>396</v>
      </c>
      <c r="Z158">
        <v>14152</v>
      </c>
      <c r="AA158">
        <v>39</v>
      </c>
      <c r="AB158">
        <v>2195</v>
      </c>
      <c r="AC158">
        <v>704</v>
      </c>
      <c r="AD158">
        <v>175</v>
      </c>
      <c r="AE158">
        <v>78.2</v>
      </c>
      <c r="AF158">
        <v>103.6</v>
      </c>
      <c r="AG158">
        <v>15</v>
      </c>
      <c r="AH158">
        <v>18</v>
      </c>
      <c r="AI158">
        <v>413.15</v>
      </c>
      <c r="AJ158">
        <v>40</v>
      </c>
      <c r="AK158">
        <v>10.328749999999999</v>
      </c>
      <c r="AL158">
        <v>39243</v>
      </c>
      <c r="AM158">
        <v>-0.01</v>
      </c>
      <c r="AN158">
        <v>0</v>
      </c>
      <c r="AO158">
        <v>0</v>
      </c>
      <c r="AP158">
        <v>0</v>
      </c>
      <c r="AQ158">
        <v>0</v>
      </c>
      <c r="AR158">
        <v>0</v>
      </c>
      <c r="AS158" t="s">
        <v>100</v>
      </c>
      <c r="AT158" t="s">
        <v>146</v>
      </c>
    </row>
    <row r="159" spans="1:46" x14ac:dyDescent="0.25">
      <c r="A159">
        <v>18</v>
      </c>
      <c r="B159" t="s">
        <v>7</v>
      </c>
      <c r="C159">
        <v>51</v>
      </c>
      <c r="D159">
        <v>68</v>
      </c>
      <c r="E159">
        <v>-17</v>
      </c>
      <c r="F159">
        <v>7</v>
      </c>
      <c r="G159">
        <v>63</v>
      </c>
      <c r="H159">
        <v>2</v>
      </c>
      <c r="I159">
        <v>50.6</v>
      </c>
      <c r="J159">
        <v>63.4</v>
      </c>
      <c r="K159">
        <v>0.39999999999999858</v>
      </c>
      <c r="L159">
        <v>412</v>
      </c>
      <c r="M159">
        <v>142</v>
      </c>
      <c r="N159">
        <v>3</v>
      </c>
      <c r="O159">
        <v>3</v>
      </c>
      <c r="P159">
        <v>40</v>
      </c>
      <c r="Q159">
        <v>11</v>
      </c>
      <c r="R159">
        <v>4</v>
      </c>
      <c r="S159">
        <v>83</v>
      </c>
      <c r="T159">
        <v>5</v>
      </c>
      <c r="U159">
        <v>5</v>
      </c>
      <c r="V159">
        <v>113</v>
      </c>
      <c r="W159">
        <v>723</v>
      </c>
      <c r="X159">
        <v>412</v>
      </c>
      <c r="Y159">
        <v>410</v>
      </c>
      <c r="Z159">
        <v>17365</v>
      </c>
      <c r="AA159">
        <v>76</v>
      </c>
      <c r="AB159">
        <v>2552</v>
      </c>
      <c r="AC159">
        <v>496</v>
      </c>
      <c r="AD159">
        <v>135</v>
      </c>
      <c r="AE159">
        <v>48</v>
      </c>
      <c r="AF159">
        <v>81.400000000000006</v>
      </c>
      <c r="AG159">
        <v>10</v>
      </c>
      <c r="AH159">
        <v>9</v>
      </c>
      <c r="AI159">
        <v>490.8</v>
      </c>
      <c r="AJ159">
        <v>38</v>
      </c>
      <c r="AK159">
        <v>7.7424612876935611E-2</v>
      </c>
      <c r="AL159">
        <v>31887</v>
      </c>
      <c r="AM159">
        <v>0.06</v>
      </c>
      <c r="AN159">
        <v>0</v>
      </c>
      <c r="AO159">
        <v>0</v>
      </c>
      <c r="AP159">
        <v>0</v>
      </c>
      <c r="AQ159">
        <v>1</v>
      </c>
      <c r="AR159">
        <v>0</v>
      </c>
      <c r="AS159" t="s">
        <v>100</v>
      </c>
      <c r="AT159" t="s">
        <v>146</v>
      </c>
    </row>
    <row r="160" spans="1:46" x14ac:dyDescent="0.25">
      <c r="A160">
        <v>19</v>
      </c>
      <c r="B160" t="s">
        <v>13</v>
      </c>
      <c r="C160">
        <v>48</v>
      </c>
      <c r="D160">
        <v>78</v>
      </c>
      <c r="E160">
        <v>-30</v>
      </c>
      <c r="F160">
        <v>5</v>
      </c>
      <c r="G160">
        <v>89</v>
      </c>
      <c r="H160">
        <v>3</v>
      </c>
      <c r="I160">
        <v>47.4</v>
      </c>
      <c r="J160">
        <v>67.2</v>
      </c>
      <c r="K160">
        <v>0.60000000000000142</v>
      </c>
      <c r="L160">
        <v>459</v>
      </c>
      <c r="M160">
        <v>141</v>
      </c>
      <c r="N160">
        <v>1</v>
      </c>
      <c r="O160">
        <v>9</v>
      </c>
      <c r="P160">
        <v>41</v>
      </c>
      <c r="Q160">
        <v>7</v>
      </c>
      <c r="R160">
        <v>2</v>
      </c>
      <c r="S160">
        <v>60</v>
      </c>
      <c r="T160">
        <v>1</v>
      </c>
      <c r="U160">
        <v>6</v>
      </c>
      <c r="V160">
        <v>108</v>
      </c>
      <c r="W160">
        <v>709</v>
      </c>
      <c r="X160">
        <v>480</v>
      </c>
      <c r="Y160">
        <v>467</v>
      </c>
      <c r="Z160">
        <v>15160</v>
      </c>
      <c r="AA160">
        <v>41</v>
      </c>
      <c r="AB160">
        <v>2230</v>
      </c>
      <c r="AC160">
        <v>653</v>
      </c>
      <c r="AD160">
        <v>199</v>
      </c>
      <c r="AE160">
        <v>151.38999999999999</v>
      </c>
      <c r="AF160">
        <v>114.5</v>
      </c>
      <c r="AG160">
        <v>26</v>
      </c>
      <c r="AH160">
        <v>20</v>
      </c>
      <c r="AI160">
        <v>345.15</v>
      </c>
      <c r="AJ160">
        <v>47</v>
      </c>
      <c r="AK160">
        <v>7.3436170212765957</v>
      </c>
      <c r="AL160">
        <v>36566</v>
      </c>
      <c r="AM160">
        <v>7.0000000000000007E-2</v>
      </c>
      <c r="AN160">
        <v>0</v>
      </c>
      <c r="AO160">
        <v>0</v>
      </c>
      <c r="AP160">
        <v>0</v>
      </c>
      <c r="AQ160">
        <v>1</v>
      </c>
      <c r="AR160">
        <v>0</v>
      </c>
      <c r="AS160" t="s">
        <v>100</v>
      </c>
      <c r="AT160" t="s">
        <v>146</v>
      </c>
    </row>
    <row r="161" spans="1:46" x14ac:dyDescent="0.25">
      <c r="A161">
        <v>20</v>
      </c>
      <c r="B161" t="s">
        <v>11</v>
      </c>
      <c r="C161">
        <v>36</v>
      </c>
      <c r="D161">
        <v>73</v>
      </c>
      <c r="E161">
        <v>-37</v>
      </c>
      <c r="F161">
        <v>4</v>
      </c>
      <c r="G161">
        <v>73</v>
      </c>
      <c r="H161">
        <v>0</v>
      </c>
      <c r="I161">
        <v>37.700000000000003</v>
      </c>
      <c r="J161">
        <v>61</v>
      </c>
      <c r="K161">
        <v>-1.7000000000000028</v>
      </c>
      <c r="L161">
        <v>413</v>
      </c>
      <c r="M161">
        <v>132</v>
      </c>
      <c r="N161">
        <v>2</v>
      </c>
      <c r="O161">
        <v>6</v>
      </c>
      <c r="P161">
        <v>28</v>
      </c>
      <c r="Q161">
        <v>8</v>
      </c>
      <c r="R161">
        <v>5</v>
      </c>
      <c r="S161">
        <v>57</v>
      </c>
      <c r="T161">
        <v>5</v>
      </c>
      <c r="U161">
        <v>3</v>
      </c>
      <c r="V161">
        <v>81</v>
      </c>
      <c r="W161">
        <v>826</v>
      </c>
      <c r="X161">
        <v>426</v>
      </c>
      <c r="Y161">
        <v>430</v>
      </c>
      <c r="Z161">
        <v>14796</v>
      </c>
      <c r="AA161">
        <v>38</v>
      </c>
      <c r="AB161">
        <v>2481</v>
      </c>
      <c r="AC161">
        <v>613</v>
      </c>
      <c r="AD161">
        <v>157</v>
      </c>
      <c r="AE161">
        <v>152.11000000000001</v>
      </c>
      <c r="AF161">
        <v>5.5</v>
      </c>
      <c r="AG161">
        <v>21</v>
      </c>
      <c r="AH161">
        <v>14</v>
      </c>
      <c r="AI161">
        <v>419.95</v>
      </c>
      <c r="AJ161">
        <v>46</v>
      </c>
      <c r="AK161">
        <v>9.1293478260869563</v>
      </c>
      <c r="AL161">
        <v>30440</v>
      </c>
      <c r="AM161">
        <v>0.02</v>
      </c>
      <c r="AN161">
        <v>0</v>
      </c>
      <c r="AO161">
        <v>0</v>
      </c>
      <c r="AP161">
        <v>0</v>
      </c>
      <c r="AQ161">
        <v>1</v>
      </c>
      <c r="AR161">
        <v>0</v>
      </c>
      <c r="AS161" t="s">
        <v>100</v>
      </c>
      <c r="AT161" t="s">
        <v>146</v>
      </c>
    </row>
    <row r="162" spans="1:46" x14ac:dyDescent="0.25">
      <c r="A162">
        <v>1</v>
      </c>
      <c r="B162" t="s">
        <v>25</v>
      </c>
      <c r="C162">
        <v>96</v>
      </c>
      <c r="D162">
        <v>34</v>
      </c>
      <c r="E162">
        <v>62</v>
      </c>
      <c r="F162">
        <v>13</v>
      </c>
      <c r="G162">
        <v>53</v>
      </c>
      <c r="H162">
        <v>2</v>
      </c>
      <c r="I162">
        <v>80.5</v>
      </c>
      <c r="J162">
        <v>35.6</v>
      </c>
      <c r="K162">
        <v>15.5</v>
      </c>
      <c r="L162">
        <v>683</v>
      </c>
      <c r="M162">
        <v>264</v>
      </c>
      <c r="N162">
        <v>9</v>
      </c>
      <c r="O162">
        <v>11</v>
      </c>
      <c r="P162">
        <v>81</v>
      </c>
      <c r="Q162">
        <v>15</v>
      </c>
      <c r="R162">
        <v>2</v>
      </c>
      <c r="S162">
        <v>42</v>
      </c>
      <c r="T162">
        <v>1</v>
      </c>
      <c r="U162">
        <v>8</v>
      </c>
      <c r="V162">
        <v>76</v>
      </c>
      <c r="W162">
        <v>457</v>
      </c>
      <c r="X162">
        <v>517</v>
      </c>
      <c r="Y162">
        <v>289</v>
      </c>
      <c r="Z162">
        <v>27758</v>
      </c>
      <c r="AA162">
        <v>85</v>
      </c>
      <c r="AB162">
        <v>4796</v>
      </c>
      <c r="AC162">
        <v>700</v>
      </c>
      <c r="AD162">
        <v>286</v>
      </c>
      <c r="AE162">
        <v>259.60000000000002</v>
      </c>
      <c r="AF162">
        <v>121.5</v>
      </c>
      <c r="AG162">
        <v>19</v>
      </c>
      <c r="AH162">
        <v>20</v>
      </c>
      <c r="AI162">
        <v>1460</v>
      </c>
      <c r="AJ162">
        <v>36</v>
      </c>
      <c r="AK162">
        <v>40.555555555555557</v>
      </c>
      <c r="AL162">
        <v>53012</v>
      </c>
      <c r="AM162">
        <v>0.06</v>
      </c>
      <c r="AN162">
        <v>1</v>
      </c>
      <c r="AO162">
        <v>0</v>
      </c>
      <c r="AP162">
        <v>1</v>
      </c>
      <c r="AQ162">
        <v>0</v>
      </c>
      <c r="AR162">
        <v>1</v>
      </c>
      <c r="AS162" t="s">
        <v>219</v>
      </c>
      <c r="AT162" s="98" t="s">
        <v>318</v>
      </c>
    </row>
    <row r="163" spans="1:46" x14ac:dyDescent="0.25">
      <c r="A163">
        <v>2</v>
      </c>
      <c r="B163" t="s">
        <v>6</v>
      </c>
      <c r="C163">
        <v>91</v>
      </c>
      <c r="D163">
        <v>29</v>
      </c>
      <c r="E163">
        <v>62</v>
      </c>
      <c r="F163">
        <v>18</v>
      </c>
      <c r="G163">
        <v>64</v>
      </c>
      <c r="H163">
        <v>2</v>
      </c>
      <c r="I163">
        <v>76.099999999999994</v>
      </c>
      <c r="J163">
        <v>27.9</v>
      </c>
      <c r="K163">
        <v>14.900000000000006</v>
      </c>
      <c r="L163">
        <v>647</v>
      </c>
      <c r="M163">
        <v>209</v>
      </c>
      <c r="N163">
        <v>10</v>
      </c>
      <c r="O163">
        <v>17</v>
      </c>
      <c r="P163">
        <v>85</v>
      </c>
      <c r="Q163">
        <v>6</v>
      </c>
      <c r="R163">
        <v>7</v>
      </c>
      <c r="S163">
        <v>87</v>
      </c>
      <c r="T163">
        <v>1</v>
      </c>
      <c r="U163">
        <v>9</v>
      </c>
      <c r="V163">
        <v>54</v>
      </c>
      <c r="W163">
        <v>515</v>
      </c>
      <c r="X163">
        <v>610</v>
      </c>
      <c r="Y163">
        <v>391</v>
      </c>
      <c r="Z163">
        <v>22558</v>
      </c>
      <c r="AA163">
        <v>104</v>
      </c>
      <c r="AB163">
        <v>3354</v>
      </c>
      <c r="AC163">
        <v>670</v>
      </c>
      <c r="AD163">
        <v>265</v>
      </c>
      <c r="AE163">
        <v>235.1</v>
      </c>
      <c r="AF163">
        <v>69.2</v>
      </c>
      <c r="AG163">
        <v>15</v>
      </c>
      <c r="AH163">
        <v>16</v>
      </c>
      <c r="AI163">
        <v>1200</v>
      </c>
      <c r="AJ163">
        <v>40</v>
      </c>
      <c r="AK163">
        <v>30</v>
      </c>
      <c r="AL163">
        <v>60236</v>
      </c>
      <c r="AM163">
        <v>-0.03</v>
      </c>
      <c r="AN163">
        <v>1</v>
      </c>
      <c r="AO163">
        <v>0</v>
      </c>
      <c r="AP163">
        <v>1</v>
      </c>
      <c r="AQ163">
        <v>0</v>
      </c>
      <c r="AR163">
        <v>1</v>
      </c>
      <c r="AS163" t="s">
        <v>219</v>
      </c>
      <c r="AT163" s="98" t="s">
        <v>318</v>
      </c>
    </row>
    <row r="164" spans="1:46" x14ac:dyDescent="0.25">
      <c r="A164">
        <v>3</v>
      </c>
      <c r="B164" t="s">
        <v>1</v>
      </c>
      <c r="C164">
        <v>86</v>
      </c>
      <c r="D164">
        <v>41</v>
      </c>
      <c r="E164">
        <v>45</v>
      </c>
      <c r="F164">
        <v>10</v>
      </c>
      <c r="G164">
        <v>69</v>
      </c>
      <c r="H164">
        <v>5</v>
      </c>
      <c r="I164">
        <v>87.8</v>
      </c>
      <c r="J164">
        <v>45.7</v>
      </c>
      <c r="K164">
        <v>-1.7999999999999972</v>
      </c>
      <c r="L164">
        <v>781</v>
      </c>
      <c r="M164">
        <v>263</v>
      </c>
      <c r="N164">
        <v>6</v>
      </c>
      <c r="O164">
        <v>13</v>
      </c>
      <c r="P164">
        <v>74</v>
      </c>
      <c r="Q164">
        <v>12</v>
      </c>
      <c r="R164">
        <v>6</v>
      </c>
      <c r="S164">
        <v>100</v>
      </c>
      <c r="T164">
        <v>2</v>
      </c>
      <c r="U164">
        <v>8</v>
      </c>
      <c r="V164">
        <v>108</v>
      </c>
      <c r="W164">
        <v>583</v>
      </c>
      <c r="X164">
        <v>677</v>
      </c>
      <c r="Y164">
        <v>463</v>
      </c>
      <c r="Z164">
        <v>24379</v>
      </c>
      <c r="AA164">
        <v>102</v>
      </c>
      <c r="AB164">
        <v>3548</v>
      </c>
      <c r="AC164">
        <v>817</v>
      </c>
      <c r="AD164">
        <v>287</v>
      </c>
      <c r="AE164">
        <v>172</v>
      </c>
      <c r="AF164">
        <v>60.7</v>
      </c>
      <c r="AG164">
        <v>15</v>
      </c>
      <c r="AH164">
        <v>17</v>
      </c>
      <c r="AI164">
        <v>955</v>
      </c>
      <c r="AJ164">
        <v>45</v>
      </c>
      <c r="AK164">
        <v>21.222222222222221</v>
      </c>
      <c r="AL164">
        <v>55979</v>
      </c>
      <c r="AM164">
        <v>0.16</v>
      </c>
      <c r="AN164">
        <v>1</v>
      </c>
      <c r="AO164">
        <v>0</v>
      </c>
      <c r="AP164">
        <v>1</v>
      </c>
      <c r="AQ164">
        <v>0</v>
      </c>
      <c r="AR164">
        <v>1</v>
      </c>
      <c r="AS164" t="s">
        <v>219</v>
      </c>
      <c r="AT164" s="98" t="s">
        <v>318</v>
      </c>
    </row>
    <row r="165" spans="1:46" x14ac:dyDescent="0.25">
      <c r="A165">
        <v>4</v>
      </c>
      <c r="B165" t="s">
        <v>8</v>
      </c>
      <c r="C165">
        <v>76</v>
      </c>
      <c r="D165">
        <v>61</v>
      </c>
      <c r="E165">
        <v>15</v>
      </c>
      <c r="F165">
        <v>8</v>
      </c>
      <c r="G165">
        <v>94</v>
      </c>
      <c r="H165">
        <v>2</v>
      </c>
      <c r="I165">
        <v>63.3</v>
      </c>
      <c r="J165">
        <v>59.9</v>
      </c>
      <c r="K165">
        <v>12.700000000000003</v>
      </c>
      <c r="L165">
        <v>511</v>
      </c>
      <c r="M165">
        <v>182</v>
      </c>
      <c r="N165">
        <v>4</v>
      </c>
      <c r="O165">
        <v>10</v>
      </c>
      <c r="P165">
        <v>66</v>
      </c>
      <c r="Q165">
        <v>10</v>
      </c>
      <c r="R165">
        <v>7</v>
      </c>
      <c r="S165">
        <v>47</v>
      </c>
      <c r="T165">
        <v>4</v>
      </c>
      <c r="U165">
        <v>4</v>
      </c>
      <c r="V165">
        <v>115</v>
      </c>
      <c r="W165">
        <v>597</v>
      </c>
      <c r="X165">
        <v>547</v>
      </c>
      <c r="Y165">
        <v>412</v>
      </c>
      <c r="Z165">
        <v>19363</v>
      </c>
      <c r="AA165">
        <v>80</v>
      </c>
      <c r="AB165">
        <v>2869</v>
      </c>
      <c r="AC165">
        <v>651</v>
      </c>
      <c r="AD165">
        <v>231</v>
      </c>
      <c r="AE165">
        <v>111.5</v>
      </c>
      <c r="AF165">
        <v>35.549999999999997</v>
      </c>
      <c r="AG165">
        <v>16</v>
      </c>
      <c r="AH165">
        <v>15</v>
      </c>
      <c r="AI165">
        <v>709</v>
      </c>
      <c r="AJ165">
        <v>45</v>
      </c>
      <c r="AK165">
        <v>15.755555555555556</v>
      </c>
      <c r="AL165">
        <v>41858</v>
      </c>
      <c r="AM165">
        <v>0.18</v>
      </c>
      <c r="AN165">
        <v>1</v>
      </c>
      <c r="AO165">
        <v>0</v>
      </c>
      <c r="AP165">
        <v>1</v>
      </c>
      <c r="AQ165">
        <v>0</v>
      </c>
      <c r="AR165">
        <v>0</v>
      </c>
      <c r="AS165" t="s">
        <v>219</v>
      </c>
      <c r="AT165" s="98" t="s">
        <v>318</v>
      </c>
    </row>
    <row r="166" spans="1:46" x14ac:dyDescent="0.25">
      <c r="A166">
        <v>5</v>
      </c>
      <c r="B166" t="s">
        <v>3</v>
      </c>
      <c r="C166">
        <v>74</v>
      </c>
      <c r="D166">
        <v>61</v>
      </c>
      <c r="E166">
        <v>13</v>
      </c>
      <c r="F166">
        <v>7</v>
      </c>
      <c r="G166">
        <v>92</v>
      </c>
      <c r="H166">
        <v>4</v>
      </c>
      <c r="I166">
        <v>68.2</v>
      </c>
      <c r="J166">
        <v>63.4</v>
      </c>
      <c r="K166">
        <v>5.7999999999999972</v>
      </c>
      <c r="L166">
        <v>582</v>
      </c>
      <c r="M166">
        <v>207</v>
      </c>
      <c r="N166">
        <v>2</v>
      </c>
      <c r="O166">
        <v>8</v>
      </c>
      <c r="P166">
        <v>67</v>
      </c>
      <c r="Q166">
        <v>7</v>
      </c>
      <c r="R166">
        <v>3</v>
      </c>
      <c r="S166">
        <v>83</v>
      </c>
      <c r="T166">
        <v>3</v>
      </c>
      <c r="U166">
        <v>2</v>
      </c>
      <c r="V166">
        <v>109</v>
      </c>
      <c r="W166">
        <v>707</v>
      </c>
      <c r="X166">
        <v>724</v>
      </c>
      <c r="Y166">
        <v>425</v>
      </c>
      <c r="Z166">
        <v>24197</v>
      </c>
      <c r="AA166">
        <v>91</v>
      </c>
      <c r="AB166">
        <v>3621</v>
      </c>
      <c r="AC166">
        <v>710</v>
      </c>
      <c r="AD166">
        <v>234</v>
      </c>
      <c r="AE166">
        <v>272.10000000000002</v>
      </c>
      <c r="AF166">
        <v>120.7</v>
      </c>
      <c r="AG166">
        <v>26</v>
      </c>
      <c r="AH166">
        <v>21</v>
      </c>
      <c r="AI166">
        <v>838</v>
      </c>
      <c r="AJ166">
        <v>41</v>
      </c>
      <c r="AK166">
        <v>20.439024390243901</v>
      </c>
      <c r="AL166">
        <v>61482</v>
      </c>
      <c r="AM166">
        <v>0.08</v>
      </c>
      <c r="AN166">
        <v>0</v>
      </c>
      <c r="AO166">
        <v>0</v>
      </c>
      <c r="AP166">
        <v>0</v>
      </c>
      <c r="AQ166">
        <v>0</v>
      </c>
      <c r="AR166">
        <v>1</v>
      </c>
      <c r="AS166" t="s">
        <v>219</v>
      </c>
      <c r="AT166" s="98" t="s">
        <v>318</v>
      </c>
    </row>
    <row r="167" spans="1:46" x14ac:dyDescent="0.25">
      <c r="A167">
        <v>6</v>
      </c>
      <c r="B167" t="s">
        <v>2</v>
      </c>
      <c r="C167">
        <v>77</v>
      </c>
      <c r="D167">
        <v>63</v>
      </c>
      <c r="E167">
        <v>14</v>
      </c>
      <c r="F167">
        <v>8</v>
      </c>
      <c r="G167">
        <v>109</v>
      </c>
      <c r="H167">
        <v>4</v>
      </c>
      <c r="I167">
        <v>74.5</v>
      </c>
      <c r="J167">
        <v>58.1</v>
      </c>
      <c r="K167">
        <v>2.5</v>
      </c>
      <c r="L167">
        <v>537</v>
      </c>
      <c r="M167">
        <v>194</v>
      </c>
      <c r="N167">
        <v>11</v>
      </c>
      <c r="O167">
        <v>13</v>
      </c>
      <c r="P167">
        <v>69</v>
      </c>
      <c r="Q167">
        <v>8</v>
      </c>
      <c r="R167">
        <v>3</v>
      </c>
      <c r="S167">
        <v>85</v>
      </c>
      <c r="T167">
        <v>3</v>
      </c>
      <c r="U167">
        <v>11</v>
      </c>
      <c r="V167">
        <v>125</v>
      </c>
      <c r="W167">
        <v>785</v>
      </c>
      <c r="X167">
        <v>663</v>
      </c>
      <c r="Y167">
        <v>446</v>
      </c>
      <c r="Z167">
        <v>23364</v>
      </c>
      <c r="AA167">
        <v>116</v>
      </c>
      <c r="AB167">
        <v>3559</v>
      </c>
      <c r="AC167">
        <v>558</v>
      </c>
      <c r="AD167">
        <v>202</v>
      </c>
      <c r="AE167">
        <v>466.1</v>
      </c>
      <c r="AF167">
        <v>278.3</v>
      </c>
      <c r="AG167">
        <v>31</v>
      </c>
      <c r="AH167">
        <v>32</v>
      </c>
      <c r="AI167">
        <v>1010</v>
      </c>
      <c r="AJ167">
        <v>56</v>
      </c>
      <c r="AK167">
        <v>18.035714285714285</v>
      </c>
      <c r="AL167">
        <v>39524</v>
      </c>
      <c r="AM167">
        <v>0.16</v>
      </c>
      <c r="AN167">
        <v>0</v>
      </c>
      <c r="AO167">
        <v>0</v>
      </c>
      <c r="AP167">
        <v>0</v>
      </c>
      <c r="AQ167">
        <v>0</v>
      </c>
      <c r="AR167">
        <v>1</v>
      </c>
      <c r="AS167" t="s">
        <v>219</v>
      </c>
      <c r="AT167" s="98" t="s">
        <v>318</v>
      </c>
    </row>
    <row r="168" spans="1:46" x14ac:dyDescent="0.25">
      <c r="A168">
        <v>7</v>
      </c>
      <c r="B168" t="s">
        <v>12</v>
      </c>
      <c r="C168">
        <v>85</v>
      </c>
      <c r="D168">
        <v>62</v>
      </c>
      <c r="E168">
        <v>23</v>
      </c>
      <c r="F168">
        <v>10</v>
      </c>
      <c r="G168">
        <v>79</v>
      </c>
      <c r="H168">
        <v>1</v>
      </c>
      <c r="I168">
        <v>76</v>
      </c>
      <c r="J168">
        <v>61.4</v>
      </c>
      <c r="K168">
        <v>9</v>
      </c>
      <c r="L168">
        <v>542</v>
      </c>
      <c r="M168">
        <v>196</v>
      </c>
      <c r="N168">
        <v>8</v>
      </c>
      <c r="O168">
        <v>10</v>
      </c>
      <c r="P168">
        <v>78</v>
      </c>
      <c r="Q168">
        <v>7</v>
      </c>
      <c r="R168">
        <v>8</v>
      </c>
      <c r="S168">
        <v>59</v>
      </c>
      <c r="T168">
        <v>1</v>
      </c>
      <c r="U168">
        <v>9</v>
      </c>
      <c r="V168">
        <v>133</v>
      </c>
      <c r="W168">
        <v>682</v>
      </c>
      <c r="X168">
        <v>661</v>
      </c>
      <c r="Y168">
        <v>386</v>
      </c>
      <c r="Z168">
        <v>19852</v>
      </c>
      <c r="AA168">
        <v>85</v>
      </c>
      <c r="AB168">
        <v>2703</v>
      </c>
      <c r="AC168">
        <v>648</v>
      </c>
      <c r="AD168">
        <v>192</v>
      </c>
      <c r="AE168">
        <v>148.1</v>
      </c>
      <c r="AF168">
        <v>44.6</v>
      </c>
      <c r="AG168">
        <v>17</v>
      </c>
      <c r="AH168">
        <v>16</v>
      </c>
      <c r="AI168">
        <v>652</v>
      </c>
      <c r="AJ168">
        <v>45</v>
      </c>
      <c r="AK168">
        <v>14.488888888888889</v>
      </c>
      <c r="AL168">
        <v>52125</v>
      </c>
      <c r="AM168">
        <v>0.22</v>
      </c>
      <c r="AN168">
        <v>1</v>
      </c>
      <c r="AO168">
        <v>0</v>
      </c>
      <c r="AP168">
        <v>0</v>
      </c>
      <c r="AQ168">
        <v>0</v>
      </c>
      <c r="AR168">
        <v>0</v>
      </c>
      <c r="AS168" t="s">
        <v>219</v>
      </c>
      <c r="AT168" s="98" t="s">
        <v>318</v>
      </c>
    </row>
    <row r="169" spans="1:46" x14ac:dyDescent="0.25">
      <c r="A169">
        <v>8</v>
      </c>
      <c r="B169" t="s">
        <v>4</v>
      </c>
      <c r="C169">
        <v>57</v>
      </c>
      <c r="D169">
        <v>58</v>
      </c>
      <c r="E169">
        <v>-1</v>
      </c>
      <c r="F169">
        <v>9</v>
      </c>
      <c r="G169">
        <v>83</v>
      </c>
      <c r="H169">
        <v>1</v>
      </c>
      <c r="I169">
        <v>56.5</v>
      </c>
      <c r="J169">
        <v>68.900000000000006</v>
      </c>
      <c r="K169">
        <v>0.5</v>
      </c>
      <c r="L169">
        <v>543</v>
      </c>
      <c r="M169">
        <v>182</v>
      </c>
      <c r="N169">
        <v>6</v>
      </c>
      <c r="O169">
        <v>8</v>
      </c>
      <c r="P169">
        <v>51</v>
      </c>
      <c r="Q169">
        <v>6</v>
      </c>
      <c r="R169">
        <v>3</v>
      </c>
      <c r="S169">
        <v>91</v>
      </c>
      <c r="T169">
        <v>1</v>
      </c>
      <c r="U169">
        <v>6</v>
      </c>
      <c r="V169">
        <v>146</v>
      </c>
      <c r="W169">
        <v>884</v>
      </c>
      <c r="X169">
        <v>676</v>
      </c>
      <c r="Y169">
        <v>401</v>
      </c>
      <c r="Z169">
        <v>19538</v>
      </c>
      <c r="AA169">
        <v>73</v>
      </c>
      <c r="AB169">
        <v>2940</v>
      </c>
      <c r="AC169">
        <v>594</v>
      </c>
      <c r="AD169">
        <v>224</v>
      </c>
      <c r="AE169">
        <v>202.3</v>
      </c>
      <c r="AF169">
        <v>58.34</v>
      </c>
      <c r="AG169">
        <v>16</v>
      </c>
      <c r="AH169">
        <v>24</v>
      </c>
      <c r="AI169">
        <v>808</v>
      </c>
      <c r="AJ169">
        <v>46</v>
      </c>
      <c r="AK169">
        <v>17.565217391304348</v>
      </c>
      <c r="AL169">
        <v>73533</v>
      </c>
      <c r="AM169">
        <v>7.0000000000000007E-2</v>
      </c>
      <c r="AN169">
        <v>1</v>
      </c>
      <c r="AO169">
        <v>0</v>
      </c>
      <c r="AP169">
        <v>0</v>
      </c>
      <c r="AQ169">
        <v>0</v>
      </c>
      <c r="AR169">
        <v>1</v>
      </c>
      <c r="AS169" t="s">
        <v>219</v>
      </c>
      <c r="AT169" s="98" t="s">
        <v>318</v>
      </c>
    </row>
    <row r="170" spans="1:46" x14ac:dyDescent="0.25">
      <c r="A170">
        <v>9</v>
      </c>
      <c r="B170" t="s">
        <v>5</v>
      </c>
      <c r="C170">
        <v>60</v>
      </c>
      <c r="D170">
        <v>74</v>
      </c>
      <c r="E170">
        <v>-14</v>
      </c>
      <c r="F170">
        <v>5</v>
      </c>
      <c r="G170">
        <v>82</v>
      </c>
      <c r="H170">
        <v>3</v>
      </c>
      <c r="I170">
        <v>52.3</v>
      </c>
      <c r="J170">
        <v>71.099999999999994</v>
      </c>
      <c r="K170">
        <v>7.7000000000000028</v>
      </c>
      <c r="L170">
        <v>445</v>
      </c>
      <c r="M170">
        <v>146</v>
      </c>
      <c r="N170">
        <v>4</v>
      </c>
      <c r="O170">
        <v>14</v>
      </c>
      <c r="P170">
        <v>52</v>
      </c>
      <c r="Q170">
        <v>8</v>
      </c>
      <c r="R170">
        <v>9</v>
      </c>
      <c r="S170">
        <v>71</v>
      </c>
      <c r="T170">
        <v>4</v>
      </c>
      <c r="U170">
        <v>4</v>
      </c>
      <c r="V170">
        <v>169</v>
      </c>
      <c r="W170">
        <v>906</v>
      </c>
      <c r="X170">
        <v>684</v>
      </c>
      <c r="Y170">
        <v>390</v>
      </c>
      <c r="Z170">
        <v>16373</v>
      </c>
      <c r="AA170">
        <v>60</v>
      </c>
      <c r="AB170">
        <v>2413</v>
      </c>
      <c r="AC170">
        <v>661</v>
      </c>
      <c r="AD170">
        <v>165</v>
      </c>
      <c r="AE170">
        <v>144.56</v>
      </c>
      <c r="AF170">
        <v>170.46</v>
      </c>
      <c r="AG170">
        <v>10</v>
      </c>
      <c r="AH170">
        <v>11</v>
      </c>
      <c r="AI170">
        <v>487</v>
      </c>
      <c r="AJ170">
        <v>36</v>
      </c>
      <c r="AK170">
        <v>13.527777777777779</v>
      </c>
      <c r="AL170">
        <v>62567</v>
      </c>
      <c r="AM170">
        <v>0.14000000000000001</v>
      </c>
      <c r="AN170">
        <v>0</v>
      </c>
      <c r="AO170">
        <v>0</v>
      </c>
      <c r="AP170">
        <v>0</v>
      </c>
      <c r="AQ170">
        <v>0</v>
      </c>
      <c r="AR170">
        <v>0</v>
      </c>
      <c r="AS170" t="s">
        <v>219</v>
      </c>
      <c r="AT170" s="98" t="s">
        <v>318</v>
      </c>
    </row>
    <row r="171" spans="1:46" x14ac:dyDescent="0.25">
      <c r="A171">
        <v>10</v>
      </c>
      <c r="B171" t="s">
        <v>9</v>
      </c>
      <c r="C171">
        <v>57</v>
      </c>
      <c r="D171">
        <v>58</v>
      </c>
      <c r="E171">
        <v>-1</v>
      </c>
      <c r="F171">
        <v>10</v>
      </c>
      <c r="G171">
        <v>73</v>
      </c>
      <c r="H171">
        <v>2</v>
      </c>
      <c r="I171">
        <v>48.6</v>
      </c>
      <c r="J171">
        <v>52</v>
      </c>
      <c r="K171">
        <v>8.3999999999999986</v>
      </c>
      <c r="L171">
        <v>452</v>
      </c>
      <c r="M171">
        <v>162</v>
      </c>
      <c r="N171">
        <v>4</v>
      </c>
      <c r="O171">
        <v>4</v>
      </c>
      <c r="P171">
        <v>48</v>
      </c>
      <c r="Q171">
        <v>9</v>
      </c>
      <c r="R171">
        <v>2</v>
      </c>
      <c r="S171">
        <v>72</v>
      </c>
      <c r="T171">
        <v>2</v>
      </c>
      <c r="U171">
        <v>4</v>
      </c>
      <c r="V171">
        <v>98</v>
      </c>
      <c r="W171">
        <v>927</v>
      </c>
      <c r="X171">
        <v>788</v>
      </c>
      <c r="Y171">
        <v>457</v>
      </c>
      <c r="Z171">
        <v>16754</v>
      </c>
      <c r="AA171">
        <v>52</v>
      </c>
      <c r="AB171">
        <v>2627</v>
      </c>
      <c r="AC171">
        <v>583</v>
      </c>
      <c r="AD171">
        <v>178</v>
      </c>
      <c r="AE171">
        <v>67.8</v>
      </c>
      <c r="AF171">
        <v>0</v>
      </c>
      <c r="AG171">
        <v>8</v>
      </c>
      <c r="AH171">
        <v>9</v>
      </c>
      <c r="AI171">
        <v>446</v>
      </c>
      <c r="AJ171">
        <v>40</v>
      </c>
      <c r="AK171">
        <v>11.15</v>
      </c>
      <c r="AL171">
        <v>24932</v>
      </c>
      <c r="AM171">
        <v>0.2</v>
      </c>
      <c r="AN171">
        <v>0</v>
      </c>
      <c r="AO171">
        <v>0</v>
      </c>
      <c r="AP171">
        <v>0</v>
      </c>
      <c r="AQ171">
        <v>0</v>
      </c>
      <c r="AR171">
        <v>0</v>
      </c>
      <c r="AS171" t="s">
        <v>219</v>
      </c>
      <c r="AT171" s="98" t="s">
        <v>318</v>
      </c>
    </row>
    <row r="172" spans="1:46" x14ac:dyDescent="0.25">
      <c r="A172">
        <v>11</v>
      </c>
      <c r="B172" t="s">
        <v>14</v>
      </c>
      <c r="C172">
        <v>55</v>
      </c>
      <c r="D172">
        <v>62</v>
      </c>
      <c r="E172">
        <v>-7</v>
      </c>
      <c r="F172">
        <v>6</v>
      </c>
      <c r="G172">
        <v>90</v>
      </c>
      <c r="H172">
        <v>3</v>
      </c>
      <c r="I172">
        <v>56.8</v>
      </c>
      <c r="J172">
        <v>55.4</v>
      </c>
      <c r="K172">
        <v>-1.7999999999999972</v>
      </c>
      <c r="L172">
        <v>555</v>
      </c>
      <c r="M172">
        <v>198</v>
      </c>
      <c r="N172">
        <v>5</v>
      </c>
      <c r="O172">
        <v>11</v>
      </c>
      <c r="P172">
        <v>49</v>
      </c>
      <c r="Q172">
        <v>6</v>
      </c>
      <c r="R172">
        <v>1</v>
      </c>
      <c r="S172">
        <v>84</v>
      </c>
      <c r="T172">
        <v>2</v>
      </c>
      <c r="U172">
        <v>6</v>
      </c>
      <c r="V172">
        <v>105</v>
      </c>
      <c r="W172">
        <v>603</v>
      </c>
      <c r="X172">
        <v>644</v>
      </c>
      <c r="Y172">
        <v>414</v>
      </c>
      <c r="Z172">
        <v>25029</v>
      </c>
      <c r="AA172">
        <v>62</v>
      </c>
      <c r="AB172">
        <v>4187</v>
      </c>
      <c r="AC172">
        <v>671</v>
      </c>
      <c r="AD172">
        <v>206</v>
      </c>
      <c r="AE172">
        <v>109.5</v>
      </c>
      <c r="AF172">
        <v>190.2</v>
      </c>
      <c r="AG172">
        <v>31</v>
      </c>
      <c r="AH172">
        <v>24</v>
      </c>
      <c r="AI172">
        <v>524</v>
      </c>
      <c r="AJ172">
        <v>49</v>
      </c>
      <c r="AK172">
        <v>10.693877551020408</v>
      </c>
      <c r="AL172">
        <v>32638</v>
      </c>
      <c r="AM172">
        <v>0.11</v>
      </c>
      <c r="AN172">
        <v>1</v>
      </c>
      <c r="AO172">
        <v>0</v>
      </c>
      <c r="AP172">
        <v>0</v>
      </c>
      <c r="AQ172">
        <v>0</v>
      </c>
      <c r="AR172">
        <v>0</v>
      </c>
      <c r="AS172" t="s">
        <v>219</v>
      </c>
      <c r="AT172" s="98" t="s">
        <v>318</v>
      </c>
    </row>
    <row r="173" spans="1:46" x14ac:dyDescent="0.25">
      <c r="A173">
        <v>12</v>
      </c>
      <c r="B173" t="s">
        <v>85</v>
      </c>
      <c r="C173">
        <v>54</v>
      </c>
      <c r="D173">
        <v>67</v>
      </c>
      <c r="E173">
        <v>-13</v>
      </c>
      <c r="F173">
        <v>9</v>
      </c>
      <c r="G173">
        <v>79</v>
      </c>
      <c r="H173">
        <v>3</v>
      </c>
      <c r="I173">
        <v>55.9</v>
      </c>
      <c r="J173">
        <v>58.1</v>
      </c>
      <c r="K173">
        <v>-1.8999999999999986</v>
      </c>
      <c r="L173">
        <v>539</v>
      </c>
      <c r="M173">
        <v>175</v>
      </c>
      <c r="N173">
        <v>2</v>
      </c>
      <c r="O173">
        <v>11</v>
      </c>
      <c r="P173">
        <v>49</v>
      </c>
      <c r="Q173">
        <v>5</v>
      </c>
      <c r="R173">
        <v>5</v>
      </c>
      <c r="S173">
        <v>56</v>
      </c>
      <c r="T173">
        <v>1</v>
      </c>
      <c r="U173">
        <v>3</v>
      </c>
      <c r="V173">
        <v>127</v>
      </c>
      <c r="W173">
        <v>817</v>
      </c>
      <c r="X173">
        <v>693</v>
      </c>
      <c r="Y173">
        <v>507</v>
      </c>
      <c r="Z173">
        <v>15920</v>
      </c>
      <c r="AA173">
        <v>48</v>
      </c>
      <c r="AB173">
        <v>2259</v>
      </c>
      <c r="AC173">
        <v>709</v>
      </c>
      <c r="AD173">
        <v>235</v>
      </c>
      <c r="AE173">
        <v>127.29</v>
      </c>
      <c r="AF173">
        <v>1.5</v>
      </c>
      <c r="AG173">
        <v>25</v>
      </c>
      <c r="AH173">
        <v>21</v>
      </c>
      <c r="AI173">
        <v>401</v>
      </c>
      <c r="AJ173">
        <v>42</v>
      </c>
      <c r="AK173">
        <v>9.5476190476190474</v>
      </c>
      <c r="AL173">
        <v>11103</v>
      </c>
      <c r="AM173">
        <v>0.08</v>
      </c>
      <c r="AN173">
        <v>0</v>
      </c>
      <c r="AO173">
        <v>0</v>
      </c>
      <c r="AP173">
        <v>0</v>
      </c>
      <c r="AQ173">
        <v>0</v>
      </c>
      <c r="AR173">
        <v>0</v>
      </c>
      <c r="AS173" t="s">
        <v>219</v>
      </c>
      <c r="AT173" s="98" t="s">
        <v>318</v>
      </c>
    </row>
    <row r="174" spans="1:46" x14ac:dyDescent="0.25">
      <c r="A174">
        <v>13</v>
      </c>
      <c r="B174" t="s">
        <v>27</v>
      </c>
      <c r="C174">
        <v>55</v>
      </c>
      <c r="D174">
        <v>61</v>
      </c>
      <c r="E174">
        <v>-6</v>
      </c>
      <c r="F174">
        <v>10</v>
      </c>
      <c r="G174">
        <v>84</v>
      </c>
      <c r="H174">
        <v>4</v>
      </c>
      <c r="I174">
        <v>50.8</v>
      </c>
      <c r="J174">
        <v>62.9</v>
      </c>
      <c r="K174">
        <v>4.2000000000000028</v>
      </c>
      <c r="L174">
        <v>499</v>
      </c>
      <c r="M174">
        <v>175</v>
      </c>
      <c r="N174">
        <v>2</v>
      </c>
      <c r="O174">
        <v>9</v>
      </c>
      <c r="P174">
        <v>48</v>
      </c>
      <c r="Q174">
        <v>7</v>
      </c>
      <c r="R174">
        <v>3</v>
      </c>
      <c r="S174">
        <v>51</v>
      </c>
      <c r="T174">
        <v>4</v>
      </c>
      <c r="U174">
        <v>2</v>
      </c>
      <c r="V174">
        <v>133</v>
      </c>
      <c r="W174">
        <v>744</v>
      </c>
      <c r="X174">
        <v>679</v>
      </c>
      <c r="Y174">
        <v>384</v>
      </c>
      <c r="Z174">
        <v>20237</v>
      </c>
      <c r="AA174">
        <v>58</v>
      </c>
      <c r="AB174">
        <v>2923</v>
      </c>
      <c r="AC174">
        <v>736</v>
      </c>
      <c r="AD174">
        <v>212</v>
      </c>
      <c r="AE174">
        <v>73.17</v>
      </c>
      <c r="AF174">
        <v>53.2</v>
      </c>
      <c r="AG174">
        <v>15</v>
      </c>
      <c r="AH174">
        <v>17</v>
      </c>
      <c r="AI174">
        <v>384</v>
      </c>
      <c r="AJ174">
        <v>35</v>
      </c>
      <c r="AK174">
        <v>10.971428571428572</v>
      </c>
      <c r="AL174">
        <v>24302</v>
      </c>
      <c r="AM174">
        <v>0.17</v>
      </c>
      <c r="AN174">
        <v>0</v>
      </c>
      <c r="AO174">
        <v>0</v>
      </c>
      <c r="AP174">
        <v>0</v>
      </c>
      <c r="AQ174">
        <v>0</v>
      </c>
      <c r="AR174">
        <v>0</v>
      </c>
      <c r="AS174" t="s">
        <v>219</v>
      </c>
      <c r="AT174" s="98" t="s">
        <v>318</v>
      </c>
    </row>
    <row r="175" spans="1:46" x14ac:dyDescent="0.25">
      <c r="A175">
        <v>14</v>
      </c>
      <c r="B175" t="s">
        <v>16</v>
      </c>
      <c r="C175">
        <v>50</v>
      </c>
      <c r="D175">
        <v>65</v>
      </c>
      <c r="E175">
        <v>-15</v>
      </c>
      <c r="F175">
        <v>5</v>
      </c>
      <c r="G175">
        <v>102</v>
      </c>
      <c r="H175">
        <v>4</v>
      </c>
      <c r="I175">
        <v>46.7</v>
      </c>
      <c r="J175">
        <v>67.7</v>
      </c>
      <c r="K175">
        <v>3.2999999999999972</v>
      </c>
      <c r="L175">
        <v>425</v>
      </c>
      <c r="M175">
        <v>153</v>
      </c>
      <c r="N175">
        <v>4</v>
      </c>
      <c r="O175">
        <v>11</v>
      </c>
      <c r="P175">
        <v>50</v>
      </c>
      <c r="Q175">
        <v>0</v>
      </c>
      <c r="R175">
        <v>3</v>
      </c>
      <c r="S175">
        <v>78</v>
      </c>
      <c r="T175">
        <v>1</v>
      </c>
      <c r="U175">
        <v>4</v>
      </c>
      <c r="V175">
        <v>139</v>
      </c>
      <c r="W175">
        <v>828</v>
      </c>
      <c r="X175">
        <v>739</v>
      </c>
      <c r="Y175">
        <v>476</v>
      </c>
      <c r="Z175">
        <v>19175</v>
      </c>
      <c r="AA175">
        <v>49</v>
      </c>
      <c r="AB175">
        <v>2953</v>
      </c>
      <c r="AC175">
        <v>578</v>
      </c>
      <c r="AD175">
        <v>156</v>
      </c>
      <c r="AE175">
        <v>94</v>
      </c>
      <c r="AF175">
        <v>169.2</v>
      </c>
      <c r="AG175">
        <v>25</v>
      </c>
      <c r="AH175">
        <v>31</v>
      </c>
      <c r="AI175">
        <v>443</v>
      </c>
      <c r="AJ175">
        <v>47</v>
      </c>
      <c r="AK175">
        <v>9.4255319148936163</v>
      </c>
      <c r="AL175">
        <v>31029</v>
      </c>
      <c r="AM175">
        <v>0.06</v>
      </c>
      <c r="AN175">
        <v>0</v>
      </c>
      <c r="AO175">
        <v>0</v>
      </c>
      <c r="AP175">
        <v>0</v>
      </c>
      <c r="AQ175">
        <v>0</v>
      </c>
      <c r="AR175">
        <v>0</v>
      </c>
      <c r="AS175" t="s">
        <v>219</v>
      </c>
      <c r="AT175" s="98" t="s">
        <v>318</v>
      </c>
    </row>
    <row r="176" spans="1:46" x14ac:dyDescent="0.25">
      <c r="A176">
        <v>15</v>
      </c>
      <c r="B176" t="s">
        <v>15</v>
      </c>
      <c r="C176">
        <v>40</v>
      </c>
      <c r="D176">
        <v>51</v>
      </c>
      <c r="E176">
        <v>-11</v>
      </c>
      <c r="F176">
        <v>13</v>
      </c>
      <c r="G176">
        <v>82</v>
      </c>
      <c r="H176">
        <v>1</v>
      </c>
      <c r="I176">
        <v>54</v>
      </c>
      <c r="J176">
        <v>55.2</v>
      </c>
      <c r="K176">
        <v>-14</v>
      </c>
      <c r="L176">
        <v>504</v>
      </c>
      <c r="M176">
        <v>152</v>
      </c>
      <c r="N176">
        <v>2</v>
      </c>
      <c r="O176">
        <v>8</v>
      </c>
      <c r="P176">
        <v>34</v>
      </c>
      <c r="Q176">
        <v>6</v>
      </c>
      <c r="R176">
        <v>1</v>
      </c>
      <c r="S176">
        <v>89</v>
      </c>
      <c r="T176">
        <v>3</v>
      </c>
      <c r="U176">
        <v>2</v>
      </c>
      <c r="V176">
        <v>117</v>
      </c>
      <c r="W176">
        <v>882</v>
      </c>
      <c r="X176">
        <v>743</v>
      </c>
      <c r="Y176">
        <v>457</v>
      </c>
      <c r="Z176">
        <v>15514</v>
      </c>
      <c r="AA176">
        <v>45</v>
      </c>
      <c r="AB176">
        <v>2347</v>
      </c>
      <c r="AC176">
        <v>752</v>
      </c>
      <c r="AD176">
        <v>181</v>
      </c>
      <c r="AE176">
        <v>40.5</v>
      </c>
      <c r="AF176">
        <v>82.8</v>
      </c>
      <c r="AG176">
        <v>16</v>
      </c>
      <c r="AH176">
        <v>16</v>
      </c>
      <c r="AI176">
        <v>391</v>
      </c>
      <c r="AJ176">
        <v>34</v>
      </c>
      <c r="AK176">
        <v>11.5</v>
      </c>
      <c r="AL176">
        <v>39042</v>
      </c>
      <c r="AM176">
        <v>0.2</v>
      </c>
      <c r="AN176">
        <v>0</v>
      </c>
      <c r="AO176">
        <v>0</v>
      </c>
      <c r="AP176">
        <v>0</v>
      </c>
      <c r="AQ176">
        <v>0</v>
      </c>
      <c r="AR176">
        <v>0</v>
      </c>
      <c r="AS176" t="s">
        <v>219</v>
      </c>
      <c r="AT176" s="98" t="s">
        <v>318</v>
      </c>
    </row>
    <row r="177" spans="1:46" x14ac:dyDescent="0.25">
      <c r="A177">
        <v>16</v>
      </c>
      <c r="B177" t="s">
        <v>10</v>
      </c>
      <c r="C177">
        <v>56</v>
      </c>
      <c r="D177">
        <v>65</v>
      </c>
      <c r="E177">
        <v>-9</v>
      </c>
      <c r="F177">
        <v>7</v>
      </c>
      <c r="G177">
        <v>89</v>
      </c>
      <c r="H177">
        <v>2</v>
      </c>
      <c r="I177">
        <v>58.2</v>
      </c>
      <c r="J177">
        <v>56</v>
      </c>
      <c r="K177">
        <v>-2.2000000000000028</v>
      </c>
      <c r="L177">
        <v>470</v>
      </c>
      <c r="M177">
        <v>159</v>
      </c>
      <c r="N177">
        <v>3</v>
      </c>
      <c r="O177">
        <v>10</v>
      </c>
      <c r="P177">
        <v>49</v>
      </c>
      <c r="Q177">
        <v>7</v>
      </c>
      <c r="R177">
        <v>3</v>
      </c>
      <c r="S177">
        <v>70</v>
      </c>
      <c r="T177">
        <v>0</v>
      </c>
      <c r="U177">
        <v>3</v>
      </c>
      <c r="V177">
        <v>119</v>
      </c>
      <c r="W177">
        <v>903</v>
      </c>
      <c r="X177">
        <v>677</v>
      </c>
      <c r="Y177">
        <v>385</v>
      </c>
      <c r="Z177">
        <v>16818</v>
      </c>
      <c r="AA177">
        <v>70</v>
      </c>
      <c r="AB177">
        <v>2393</v>
      </c>
      <c r="AC177">
        <v>706</v>
      </c>
      <c r="AD177">
        <v>184</v>
      </c>
      <c r="AE177">
        <v>72.349999999999994</v>
      </c>
      <c r="AF177">
        <v>10.25</v>
      </c>
      <c r="AG177">
        <v>19</v>
      </c>
      <c r="AH177">
        <v>16</v>
      </c>
      <c r="AI177">
        <v>429</v>
      </c>
      <c r="AJ177">
        <v>42</v>
      </c>
      <c r="AK177">
        <v>10.214285714285714</v>
      </c>
      <c r="AL177">
        <v>17082</v>
      </c>
      <c r="AM177">
        <v>-0.01</v>
      </c>
      <c r="AN177">
        <v>0</v>
      </c>
      <c r="AO177">
        <v>0</v>
      </c>
      <c r="AP177">
        <v>0</v>
      </c>
      <c r="AQ177">
        <v>0</v>
      </c>
      <c r="AR177">
        <v>0</v>
      </c>
      <c r="AS177" t="s">
        <v>219</v>
      </c>
      <c r="AT177" s="98" t="s">
        <v>318</v>
      </c>
    </row>
    <row r="178" spans="1:46" x14ac:dyDescent="0.25">
      <c r="A178">
        <v>17</v>
      </c>
      <c r="B178" t="s">
        <v>91</v>
      </c>
      <c r="C178">
        <v>49</v>
      </c>
      <c r="D178">
        <v>67</v>
      </c>
      <c r="E178">
        <v>-18</v>
      </c>
      <c r="F178">
        <v>4</v>
      </c>
      <c r="G178">
        <v>82</v>
      </c>
      <c r="H178">
        <v>3</v>
      </c>
      <c r="I178">
        <v>49.9</v>
      </c>
      <c r="J178">
        <v>53.2</v>
      </c>
      <c r="K178">
        <v>-0.89999999999999858</v>
      </c>
      <c r="L178">
        <v>450</v>
      </c>
      <c r="M178">
        <v>143</v>
      </c>
      <c r="N178">
        <v>1</v>
      </c>
      <c r="O178">
        <v>12</v>
      </c>
      <c r="P178">
        <v>40</v>
      </c>
      <c r="Q178">
        <v>9</v>
      </c>
      <c r="R178">
        <v>9</v>
      </c>
      <c r="S178">
        <v>77</v>
      </c>
      <c r="T178">
        <v>2</v>
      </c>
      <c r="U178">
        <v>1</v>
      </c>
      <c r="V178">
        <v>98</v>
      </c>
      <c r="W178">
        <v>968</v>
      </c>
      <c r="X178">
        <v>728</v>
      </c>
      <c r="Y178">
        <v>428</v>
      </c>
      <c r="Z178">
        <v>15673</v>
      </c>
      <c r="AA178">
        <v>53</v>
      </c>
      <c r="AB178">
        <v>2200</v>
      </c>
      <c r="AC178">
        <v>595</v>
      </c>
      <c r="AD178">
        <v>148</v>
      </c>
      <c r="AE178">
        <v>127.7</v>
      </c>
      <c r="AF178">
        <v>82.82</v>
      </c>
      <c r="AG178">
        <v>35</v>
      </c>
      <c r="AH178">
        <v>41</v>
      </c>
      <c r="AI178">
        <v>501</v>
      </c>
      <c r="AJ178">
        <v>46</v>
      </c>
      <c r="AK178">
        <v>10.891304347826088</v>
      </c>
      <c r="AL178">
        <v>29386</v>
      </c>
      <c r="AM178">
        <v>0.1</v>
      </c>
      <c r="AN178">
        <v>0</v>
      </c>
      <c r="AO178">
        <v>0</v>
      </c>
      <c r="AP178">
        <v>0</v>
      </c>
      <c r="AQ178">
        <v>0</v>
      </c>
      <c r="AR178">
        <v>0</v>
      </c>
      <c r="AS178" t="s">
        <v>219</v>
      </c>
      <c r="AT178" s="98" t="s">
        <v>318</v>
      </c>
    </row>
    <row r="179" spans="1:46" x14ac:dyDescent="0.25">
      <c r="A179">
        <v>18</v>
      </c>
      <c r="B179" t="s">
        <v>149</v>
      </c>
      <c r="C179">
        <v>52</v>
      </c>
      <c r="D179">
        <v>85</v>
      </c>
      <c r="E179">
        <v>-33</v>
      </c>
      <c r="F179">
        <v>2</v>
      </c>
      <c r="G179">
        <v>71</v>
      </c>
      <c r="H179">
        <v>0</v>
      </c>
      <c r="I179">
        <v>42.4</v>
      </c>
      <c r="J179">
        <v>78</v>
      </c>
      <c r="K179">
        <v>9.6000000000000014</v>
      </c>
      <c r="L179">
        <v>427</v>
      </c>
      <c r="M179">
        <v>134</v>
      </c>
      <c r="N179">
        <v>5</v>
      </c>
      <c r="O179">
        <v>15</v>
      </c>
      <c r="P179">
        <v>50</v>
      </c>
      <c r="Q179">
        <v>2</v>
      </c>
      <c r="R179">
        <v>3</v>
      </c>
      <c r="S179">
        <v>67</v>
      </c>
      <c r="T179">
        <v>4</v>
      </c>
      <c r="U179">
        <v>2</v>
      </c>
      <c r="V179">
        <v>145</v>
      </c>
      <c r="W179">
        <v>916</v>
      </c>
      <c r="X179">
        <v>654</v>
      </c>
      <c r="Y179">
        <v>443</v>
      </c>
      <c r="Z179">
        <v>15099</v>
      </c>
      <c r="AA179">
        <v>22</v>
      </c>
      <c r="AB179">
        <v>2120</v>
      </c>
      <c r="AC179">
        <v>841</v>
      </c>
      <c r="AD179">
        <v>203</v>
      </c>
      <c r="AE179">
        <v>25.9</v>
      </c>
      <c r="AF179">
        <v>0.3</v>
      </c>
      <c r="AG179">
        <v>29</v>
      </c>
      <c r="AH179">
        <v>25</v>
      </c>
      <c r="AI179">
        <v>140</v>
      </c>
      <c r="AJ179">
        <v>46</v>
      </c>
      <c r="AK179">
        <v>3.0434782608695654</v>
      </c>
      <c r="AL179">
        <v>11240</v>
      </c>
      <c r="AM179">
        <v>0.1</v>
      </c>
      <c r="AN179">
        <v>0</v>
      </c>
      <c r="AO179">
        <v>1</v>
      </c>
      <c r="AP179">
        <v>0</v>
      </c>
      <c r="AQ179">
        <v>1</v>
      </c>
      <c r="AR179">
        <v>0</v>
      </c>
      <c r="AS179" t="s">
        <v>219</v>
      </c>
      <c r="AT179" s="98" t="s">
        <v>318</v>
      </c>
    </row>
    <row r="180" spans="1:46" x14ac:dyDescent="0.25">
      <c r="A180">
        <v>19</v>
      </c>
      <c r="B180" t="s">
        <v>17</v>
      </c>
      <c r="C180">
        <v>41</v>
      </c>
      <c r="D180">
        <v>78</v>
      </c>
      <c r="E180">
        <v>-37</v>
      </c>
      <c r="F180">
        <v>2</v>
      </c>
      <c r="G180">
        <v>77</v>
      </c>
      <c r="H180">
        <v>7</v>
      </c>
      <c r="I180">
        <v>40.6</v>
      </c>
      <c r="J180">
        <v>70.400000000000006</v>
      </c>
      <c r="K180">
        <v>0.39999999999999858</v>
      </c>
      <c r="L180">
        <v>430</v>
      </c>
      <c r="M180">
        <v>137</v>
      </c>
      <c r="N180">
        <v>3</v>
      </c>
      <c r="O180">
        <v>5</v>
      </c>
      <c r="P180">
        <v>31</v>
      </c>
      <c r="Q180">
        <v>10</v>
      </c>
      <c r="R180">
        <v>1</v>
      </c>
      <c r="S180">
        <v>76</v>
      </c>
      <c r="T180">
        <v>3</v>
      </c>
      <c r="U180">
        <v>3</v>
      </c>
      <c r="V180">
        <v>168</v>
      </c>
      <c r="W180">
        <v>837</v>
      </c>
      <c r="X180">
        <v>607</v>
      </c>
      <c r="Y180">
        <v>429</v>
      </c>
      <c r="Z180">
        <v>17959</v>
      </c>
      <c r="AA180">
        <v>49</v>
      </c>
      <c r="AB180">
        <v>2978</v>
      </c>
      <c r="AC180">
        <v>550</v>
      </c>
      <c r="AD180">
        <v>180</v>
      </c>
      <c r="AE180">
        <v>111.05</v>
      </c>
      <c r="AF180">
        <v>3.8</v>
      </c>
      <c r="AG180">
        <v>27</v>
      </c>
      <c r="AH180">
        <v>20</v>
      </c>
      <c r="AI180">
        <v>273</v>
      </c>
      <c r="AJ180">
        <v>39</v>
      </c>
      <c r="AK180">
        <v>7</v>
      </c>
      <c r="AL180">
        <v>21184</v>
      </c>
      <c r="AM180">
        <v>-0.09</v>
      </c>
      <c r="AN180">
        <v>0</v>
      </c>
      <c r="AO180">
        <v>1</v>
      </c>
      <c r="AP180">
        <v>0</v>
      </c>
      <c r="AQ180">
        <v>1</v>
      </c>
      <c r="AR180">
        <v>0</v>
      </c>
      <c r="AS180" t="s">
        <v>219</v>
      </c>
      <c r="AT180" s="98" t="s">
        <v>318</v>
      </c>
    </row>
    <row r="181" spans="1:46" x14ac:dyDescent="0.25">
      <c r="A181">
        <v>20</v>
      </c>
      <c r="B181" t="s">
        <v>29</v>
      </c>
      <c r="C181">
        <v>35</v>
      </c>
      <c r="D181">
        <v>104</v>
      </c>
      <c r="E181">
        <v>-69</v>
      </c>
      <c r="F181">
        <v>1</v>
      </c>
      <c r="G181">
        <v>101</v>
      </c>
      <c r="H181">
        <v>5</v>
      </c>
      <c r="I181">
        <v>38.299999999999997</v>
      </c>
      <c r="J181">
        <v>76.7</v>
      </c>
      <c r="K181">
        <v>-3.2999999999999972</v>
      </c>
      <c r="L181">
        <v>360</v>
      </c>
      <c r="M181">
        <v>117</v>
      </c>
      <c r="N181">
        <v>5</v>
      </c>
      <c r="O181">
        <v>3</v>
      </c>
      <c r="P181">
        <v>32</v>
      </c>
      <c r="Q181">
        <v>3</v>
      </c>
      <c r="R181">
        <v>2</v>
      </c>
      <c r="S181">
        <v>64</v>
      </c>
      <c r="T181">
        <v>7</v>
      </c>
      <c r="U181">
        <v>3</v>
      </c>
      <c r="V181">
        <v>166</v>
      </c>
      <c r="W181">
        <v>1042</v>
      </c>
      <c r="X181">
        <v>709</v>
      </c>
      <c r="Y181">
        <v>423</v>
      </c>
      <c r="Z181">
        <v>13498</v>
      </c>
      <c r="AA181">
        <v>25</v>
      </c>
      <c r="AB181">
        <v>1922</v>
      </c>
      <c r="AC181">
        <v>428</v>
      </c>
      <c r="AD181">
        <v>141</v>
      </c>
      <c r="AE181">
        <v>66.95</v>
      </c>
      <c r="AF181">
        <v>30.9</v>
      </c>
      <c r="AG181">
        <v>18</v>
      </c>
      <c r="AH181">
        <v>15</v>
      </c>
      <c r="AI181">
        <v>152</v>
      </c>
      <c r="AJ181">
        <v>45</v>
      </c>
      <c r="AK181">
        <v>3.3777777777777778</v>
      </c>
      <c r="AL181">
        <v>30011</v>
      </c>
      <c r="AM181">
        <v>0</v>
      </c>
      <c r="AN181">
        <v>0</v>
      </c>
      <c r="AO181">
        <v>1</v>
      </c>
      <c r="AP181">
        <v>0</v>
      </c>
      <c r="AQ181">
        <v>1</v>
      </c>
      <c r="AR181">
        <v>0</v>
      </c>
      <c r="AS181" t="s">
        <v>219</v>
      </c>
      <c r="AT181" s="98" t="s">
        <v>318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  <vt:lpstr>Todas las temporadas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tianjor@yahoo.com.mx</dc:creator>
  <cp:lastModifiedBy>Ricardo Méndez</cp:lastModifiedBy>
  <dcterms:created xsi:type="dcterms:W3CDTF">2022-05-12T02:20:49Z</dcterms:created>
  <dcterms:modified xsi:type="dcterms:W3CDTF">2025-06-28T16:44:55Z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2f77bf-ac71-4d31-be38-cc6a5f811e56_Enabled">
    <vt:lpwstr>true</vt:lpwstr>
  </property>
  <property fmtid="{D5CDD505-2E9C-101B-9397-08002B2CF9AE}" pid="3" name="MSIP_Label_df2f77bf-ac71-4d31-be38-cc6a5f811e56_SetDate">
    <vt:lpwstr>2024-01-03T21:43:37Z</vt:lpwstr>
  </property>
  <property fmtid="{D5CDD505-2E9C-101B-9397-08002B2CF9AE}" pid="4" name="MSIP_Label_df2f77bf-ac71-4d31-be38-cc6a5f811e56_Method">
    <vt:lpwstr>Privileged</vt:lpwstr>
  </property>
  <property fmtid="{D5CDD505-2E9C-101B-9397-08002B2CF9AE}" pid="5" name="MSIP_Label_df2f77bf-ac71-4d31-be38-cc6a5f811e56_Name">
    <vt:lpwstr>Restricted</vt:lpwstr>
  </property>
  <property fmtid="{D5CDD505-2E9C-101B-9397-08002B2CF9AE}" pid="6" name="MSIP_Label_df2f77bf-ac71-4d31-be38-cc6a5f811e56_SiteId">
    <vt:lpwstr>f06fa858-824b-4a85-aacb-f372cfdc282e</vt:lpwstr>
  </property>
  <property fmtid="{D5CDD505-2E9C-101B-9397-08002B2CF9AE}" pid="7" name="MSIP_Label_df2f77bf-ac71-4d31-be38-cc6a5f811e56_ActionId">
    <vt:lpwstr>da944240-8bad-46ef-9e6d-1a8fb6c11a94</vt:lpwstr>
  </property>
  <property fmtid="{D5CDD505-2E9C-101B-9397-08002B2CF9AE}" pid="8" name="MSIP_Label_df2f77bf-ac71-4d31-be38-cc6a5f811e56_ContentBits">
    <vt:lpwstr>0</vt:lpwstr>
  </property>
</Properties>
</file>